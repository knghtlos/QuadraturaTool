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17"/>
  <workbookPr/>
  <xr:revisionPtr revIDLastSave="0" documentId="8_{E8374376-364D-495A-BA16-7BB978DA730D}" xr6:coauthVersionLast="47" xr6:coauthVersionMax="47" xr10:uidLastSave="{00000000-0000-0000-0000-000000000000}"/>
  <bookViews>
    <workbookView xWindow="240" yWindow="105" windowWidth="14805" windowHeight="8010" firstSheet="5" activeTab="5" xr2:uid="{00000000-000D-0000-FFFF-FFFF00000000}"/>
  </bookViews>
  <sheets>
    <sheet name="Offers" sheetId="1" r:id="rId1"/>
    <sheet name="Activities - Leonardo" sheetId="2" r:id="rId2"/>
    <sheet name="Budget Lines - Leonardo" sheetId="4" r:id="rId3"/>
    <sheet name="app" sheetId="12" r:id="rId4"/>
    <sheet name="Activities - VIVA" sheetId="10" r:id="rId5"/>
    <sheet name="Budget Lines - VIVA" sheetId="9" r:id="rId6"/>
    <sheet name="Activities - Intranet" sheetId="8" r:id="rId7"/>
    <sheet name="Budget Lines - Intranet" sheetId="7" r:id="rId8"/>
    <sheet name="Commesse" sheetId="5" r:id="rId9"/>
    <sheet name="Dati" sheetId="6" r:id="rId10"/>
    <sheet name="Mail" sheetId="11" r:id="rId11"/>
  </sheets>
  <definedNames>
    <definedName name="_xlnm._FilterDatabase" localSheetId="7" hidden="1">'Budget Lines - Intranet'!$A$1:$G$1</definedName>
    <definedName name="_xlnm._FilterDatabase" localSheetId="2" hidden="1">'Budget Lines - Leonardo'!$A$1:$G$1</definedName>
    <definedName name="_xlnm._FilterDatabase" localSheetId="5" hidden="1">'Budget Lines - VIVA'!$A$1:$G$1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5" i="12" l="1"/>
  <c r="K24" i="9"/>
  <c r="K25" i="9" s="1"/>
  <c r="K22" i="9"/>
  <c r="K20" i="9"/>
  <c r="K19" i="9"/>
  <c r="E35" i="5"/>
  <c r="H35" i="5" s="1" a="1"/>
  <c r="H35" i="5" s="1"/>
  <c r="M26" i="12"/>
  <c r="M27" i="12"/>
  <c r="E7" i="5"/>
  <c r="H7" i="5" a="1"/>
  <c r="H7" i="5"/>
  <c r="G168" i="4"/>
  <c r="G4" i="8"/>
  <c r="G39" i="1" a="1"/>
  <c r="G39" i="1"/>
  <c r="G65" i="1" a="1"/>
  <c r="G65" i="1"/>
  <c r="G66" i="1" a="1"/>
  <c r="G66" i="1"/>
  <c r="G67" i="1" a="1"/>
  <c r="G67" i="1"/>
  <c r="G68" i="1" a="1"/>
  <c r="G68" i="1"/>
  <c r="G69" i="1" a="1"/>
  <c r="G69" i="1"/>
  <c r="G70" i="1" a="1"/>
  <c r="G70" i="1"/>
  <c r="G71" i="1" a="1"/>
  <c r="G71" i="1"/>
  <c r="G72" i="1" a="1"/>
  <c r="G72" i="1"/>
  <c r="G73" i="1" a="1"/>
  <c r="G73" i="1"/>
  <c r="G64" i="1" a="1"/>
  <c r="G64" i="1"/>
  <c r="G63" i="1" a="1"/>
  <c r="G63" i="1"/>
  <c r="G53" i="1" a="1"/>
  <c r="G53" i="1"/>
  <c r="G47" i="1" a="1"/>
  <c r="G47" i="1"/>
  <c r="G48" i="1" a="1"/>
  <c r="G48" i="1"/>
  <c r="G46" i="1" a="1"/>
  <c r="G46" i="1"/>
  <c r="I73" i="1"/>
  <c r="I72" i="1"/>
  <c r="I71" i="1"/>
  <c r="I70" i="1"/>
  <c r="I69" i="1"/>
  <c r="L10" i="10"/>
  <c r="E34" i="5"/>
  <c r="K10" i="10"/>
  <c r="L11" i="10"/>
  <c r="K11" i="10" s="1"/>
  <c r="V19" i="12"/>
  <c r="X5" i="12"/>
  <c r="M19" i="12"/>
  <c r="M20" i="12" s="1"/>
  <c r="Y3" i="12"/>
  <c r="V10" i="12"/>
  <c r="V11" i="12"/>
  <c r="M5" i="12"/>
  <c r="M7" i="12"/>
  <c r="E33" i="5"/>
  <c r="E32" i="5"/>
  <c r="K9" i="10"/>
  <c r="E24" i="5"/>
  <c r="G131" i="4"/>
  <c r="G132" i="4" s="1"/>
  <c r="E31" i="5"/>
  <c r="E30" i="5"/>
  <c r="E29" i="5"/>
  <c r="E28" i="5"/>
  <c r="K5" i="10"/>
  <c r="K4" i="10"/>
  <c r="E27" i="5"/>
  <c r="G89" i="4"/>
  <c r="G80" i="4"/>
  <c r="G108" i="4"/>
  <c r="Q35" i="2"/>
  <c r="I35" i="2"/>
  <c r="N34" i="2"/>
  <c r="I34" i="2"/>
  <c r="G73" i="4"/>
  <c r="E6" i="5"/>
  <c r="G79" i="4"/>
  <c r="G78" i="4" s="1"/>
  <c r="Q32" i="2"/>
  <c r="M32" i="2"/>
  <c r="L32" i="2"/>
  <c r="I32" i="2"/>
  <c r="N31" i="2"/>
  <c r="M31" i="2"/>
  <c r="L31" i="2"/>
  <c r="I31" i="2"/>
  <c r="M30" i="2"/>
  <c r="L30" i="2"/>
  <c r="I30" i="2"/>
  <c r="N28" i="2"/>
  <c r="I28" i="2"/>
  <c r="N27" i="2"/>
  <c r="I27" i="2"/>
  <c r="L26" i="2"/>
  <c r="I26" i="2"/>
  <c r="M25" i="2"/>
  <c r="L25" i="2"/>
  <c r="I25" i="2"/>
  <c r="G54" i="4"/>
  <c r="M23" i="2"/>
  <c r="L23" i="2"/>
  <c r="I23" i="2"/>
  <c r="Q22" i="2"/>
  <c r="L22" i="2"/>
  <c r="I22" i="2"/>
  <c r="L21" i="2"/>
  <c r="I21" i="2"/>
  <c r="M20" i="2"/>
  <c r="L20" i="2"/>
  <c r="I20" i="2"/>
  <c r="L19" i="2"/>
  <c r="I19" i="2"/>
  <c r="L17" i="2"/>
  <c r="M17" i="2" s="1"/>
  <c r="N16" i="2"/>
  <c r="M16" i="2"/>
  <c r="L16" i="2"/>
  <c r="I16" i="2"/>
  <c r="N15" i="2"/>
  <c r="L15" i="2"/>
  <c r="I15" i="2"/>
  <c r="L14" i="2"/>
  <c r="I14" i="2"/>
  <c r="Q13" i="2"/>
  <c r="L13" i="2"/>
  <c r="I13" i="2"/>
  <c r="E14" i="5"/>
  <c r="E15" i="5"/>
  <c r="M12" i="2"/>
  <c r="L12" i="2"/>
  <c r="I12" i="2"/>
  <c r="N11" i="2"/>
  <c r="I11" i="2"/>
  <c r="I10" i="2"/>
  <c r="E2" i="5"/>
  <c r="E3" i="5"/>
  <c r="E4" i="5"/>
  <c r="E5" i="5"/>
  <c r="L8" i="2"/>
  <c r="I8" i="2"/>
  <c r="L7" i="2"/>
  <c r="L6" i="2"/>
  <c r="I6" i="2"/>
  <c r="I5" i="2"/>
  <c r="L5" i="2" s="1"/>
  <c r="E9" i="5"/>
  <c r="E10" i="5"/>
  <c r="E11" i="5"/>
  <c r="E12" i="5"/>
  <c r="E13" i="5"/>
  <c r="E16" i="5"/>
  <c r="E17" i="5"/>
  <c r="E18" i="5"/>
  <c r="E19" i="5"/>
  <c r="E20" i="5"/>
  <c r="E21" i="5"/>
  <c r="E22" i="5"/>
  <c r="E23" i="5"/>
  <c r="E25" i="5"/>
  <c r="E26" i="5"/>
  <c r="E8" i="5"/>
  <c r="Q4" i="2"/>
  <c r="L4" i="2"/>
  <c r="I4" i="2"/>
  <c r="M3" i="2"/>
  <c r="L3" i="2"/>
  <c r="I3" i="2"/>
  <c r="L2" i="2"/>
  <c r="I2" i="2"/>
  <c r="H32" i="5" l="1" a="1"/>
  <c r="G52" i="1" a="1"/>
  <c r="G52" i="1" s="1"/>
  <c r="G74" i="1" a="1"/>
  <c r="G74" i="1" s="1"/>
  <c r="I74" i="1" s="1"/>
  <c r="G62" i="1" a="1"/>
  <c r="G61" i="1" a="1"/>
  <c r="G60" i="1" a="1"/>
  <c r="G59" i="1" a="1"/>
  <c r="G58" i="1" a="1"/>
  <c r="G57" i="1" a="1"/>
  <c r="G56" i="1" a="1"/>
  <c r="G55" i="1" a="1"/>
  <c r="G54" i="1" a="1"/>
  <c r="G40" i="1" a="1"/>
  <c r="H34" i="5" a="1"/>
  <c r="N7" i="12"/>
  <c r="V26" i="12"/>
  <c r="H33" i="5" a="1"/>
  <c r="G2" i="1" a="1"/>
  <c r="G3" i="1" a="1"/>
  <c r="G4" i="1" a="1"/>
  <c r="G5" i="1" a="1"/>
  <c r="G6" i="1" a="1"/>
  <c r="G7" i="1" a="1"/>
  <c r="G8" i="1" a="1"/>
  <c r="G9" i="1" a="1"/>
  <c r="G10" i="1" a="1"/>
  <c r="G11" i="1" a="1"/>
  <c r="G12" i="1" a="1"/>
  <c r="G13" i="1" a="1"/>
  <c r="G14" i="1" a="1"/>
  <c r="G15" i="1" a="1"/>
  <c r="G16" i="1" a="1"/>
  <c r="G17" i="1" a="1"/>
  <c r="G18" i="1" a="1"/>
  <c r="G19" i="1" a="1"/>
  <c r="G20" i="1" a="1"/>
  <c r="G21" i="1" a="1"/>
  <c r="G22" i="1" a="1"/>
  <c r="G23" i="1" a="1"/>
  <c r="G24" i="1" a="1"/>
  <c r="G25" i="1" a="1"/>
  <c r="G26" i="1" a="1"/>
  <c r="G27" i="1" a="1"/>
  <c r="G28" i="1" a="1"/>
  <c r="G29" i="1" a="1"/>
  <c r="G30" i="1" a="1"/>
  <c r="G31" i="1" a="1"/>
  <c r="G32" i="1" a="1"/>
  <c r="G33" i="1" a="1"/>
  <c r="G34" i="1" a="1"/>
  <c r="G35" i="1" a="1"/>
  <c r="G36" i="1" a="1"/>
  <c r="G37" i="1" a="1"/>
  <c r="G38" i="1" a="1"/>
  <c r="G41" i="1" a="1"/>
  <c r="G42" i="1" a="1"/>
  <c r="G43" i="1" a="1"/>
  <c r="G44" i="1" a="1"/>
  <c r="G45" i="1" a="1"/>
  <c r="H24" i="5" a="1"/>
  <c r="G51" i="1" a="1"/>
  <c r="G50" i="1" a="1"/>
  <c r="G49" i="1" a="1"/>
  <c r="H28" i="5" a="1"/>
  <c r="H29" i="5" a="1"/>
  <c r="H30" i="5" a="1"/>
  <c r="H31" i="5" a="1"/>
  <c r="H2" i="5" a="1"/>
  <c r="H3" i="5" a="1"/>
  <c r="H4" i="5" a="1"/>
  <c r="H5" i="5" a="1"/>
  <c r="H6" i="5" a="1"/>
  <c r="H8" i="5" a="1"/>
  <c r="H9" i="5" a="1"/>
  <c r="H10" i="5" a="1"/>
  <c r="H11" i="5" a="1"/>
  <c r="H12" i="5" a="1"/>
  <c r="H13" i="5" a="1"/>
  <c r="H14" i="5" a="1"/>
  <c r="H15" i="5" a="1"/>
  <c r="H16" i="5" a="1"/>
  <c r="H17" i="5" a="1"/>
  <c r="H18" i="5" a="1"/>
  <c r="H19" i="5" a="1"/>
  <c r="H20" i="5" a="1"/>
  <c r="H21" i="5" a="1"/>
  <c r="H22" i="5" a="1"/>
  <c r="H23" i="5" a="1"/>
  <c r="H25" i="5" a="1"/>
  <c r="H26" i="5" a="1"/>
  <c r="H27" i="5" a="1"/>
  <c r="H34" i="5" l="1"/>
  <c r="H33" i="5"/>
  <c r="H32" i="5"/>
  <c r="H31" i="5"/>
  <c r="H30" i="5"/>
  <c r="H29" i="5"/>
  <c r="H28" i="5"/>
  <c r="H27" i="5"/>
  <c r="H26" i="5"/>
  <c r="H25" i="5"/>
  <c r="H24" i="5"/>
  <c r="H23" i="5"/>
  <c r="H22" i="5"/>
  <c r="H21" i="5"/>
  <c r="H20" i="5"/>
  <c r="H19" i="5"/>
  <c r="H18" i="5"/>
  <c r="H17" i="5"/>
  <c r="H16" i="5"/>
  <c r="H15" i="5"/>
  <c r="H14" i="5"/>
  <c r="H13" i="5"/>
  <c r="H12" i="5"/>
  <c r="H11" i="5"/>
  <c r="H10" i="5"/>
  <c r="H9" i="5"/>
  <c r="H8" i="5"/>
  <c r="H6" i="5"/>
  <c r="H5" i="5"/>
  <c r="H4" i="5"/>
  <c r="H3" i="5"/>
  <c r="H2" i="5"/>
  <c r="I68" i="1"/>
  <c r="I67" i="1"/>
  <c r="I66" i="1"/>
  <c r="I65" i="1"/>
  <c r="I64" i="1"/>
  <c r="I63" i="1"/>
  <c r="G62" i="1"/>
  <c r="I62" i="1" s="1"/>
  <c r="G61" i="1"/>
  <c r="I61" i="1" s="1"/>
  <c r="G60" i="1"/>
  <c r="I60" i="1" s="1"/>
  <c r="G59" i="1"/>
  <c r="I59" i="1" s="1"/>
  <c r="G58" i="1"/>
  <c r="I58" i="1" s="1"/>
  <c r="G57" i="1"/>
  <c r="I57" i="1" s="1"/>
  <c r="G56" i="1"/>
  <c r="I56" i="1" s="1"/>
  <c r="G55" i="1"/>
  <c r="I55" i="1" s="1"/>
  <c r="G54" i="1"/>
  <c r="I54" i="1" s="1"/>
  <c r="I53" i="1"/>
  <c r="I52" i="1"/>
  <c r="G51" i="1"/>
  <c r="I51" i="1" s="1"/>
  <c r="G50" i="1"/>
  <c r="I50" i="1" s="1"/>
  <c r="G49" i="1"/>
  <c r="I49" i="1" s="1"/>
  <c r="I48" i="1"/>
  <c r="I47" i="1"/>
  <c r="I46" i="1"/>
  <c r="G45" i="1"/>
  <c r="I45" i="1" s="1"/>
  <c r="G44" i="1"/>
  <c r="I44" i="1" s="1"/>
  <c r="G43" i="1"/>
  <c r="I43" i="1" s="1"/>
  <c r="G42" i="1"/>
  <c r="I42" i="1" s="1"/>
  <c r="G41" i="1"/>
  <c r="I41" i="1" s="1"/>
  <c r="G40" i="1"/>
  <c r="I40" i="1" s="1"/>
  <c r="I39" i="1"/>
  <c r="G38" i="1"/>
  <c r="I38" i="1" s="1"/>
  <c r="G37" i="1"/>
  <c r="I37" i="1" s="1"/>
  <c r="G36" i="1"/>
  <c r="I36" i="1" s="1"/>
  <c r="G35" i="1"/>
  <c r="I35" i="1" s="1"/>
  <c r="G34" i="1"/>
  <c r="I34" i="1" s="1"/>
  <c r="G33" i="1"/>
  <c r="I33" i="1" s="1"/>
  <c r="G32" i="1"/>
  <c r="I32" i="1" s="1"/>
  <c r="G31" i="1"/>
  <c r="I31" i="1" s="1"/>
  <c r="G30" i="1"/>
  <c r="I30" i="1" s="1"/>
  <c r="G29" i="1"/>
  <c r="I29" i="1" s="1"/>
  <c r="G28" i="1"/>
  <c r="I28" i="1" s="1"/>
  <c r="G27" i="1"/>
  <c r="I27" i="1" s="1"/>
  <c r="G26" i="1"/>
  <c r="I26" i="1" s="1"/>
  <c r="G25" i="1"/>
  <c r="I25" i="1" s="1"/>
  <c r="G24" i="1"/>
  <c r="I24" i="1" s="1"/>
  <c r="G23" i="1"/>
  <c r="I23" i="1" s="1"/>
  <c r="G22" i="1"/>
  <c r="I22" i="1" s="1"/>
  <c r="G21" i="1"/>
  <c r="I21" i="1" s="1"/>
  <c r="G20" i="1"/>
  <c r="I20" i="1" s="1"/>
  <c r="G19" i="1"/>
  <c r="I19" i="1" s="1"/>
  <c r="G18" i="1"/>
  <c r="I18" i="1" s="1"/>
  <c r="G17" i="1"/>
  <c r="I17" i="1" s="1"/>
  <c r="G16" i="1"/>
  <c r="I16" i="1" s="1"/>
  <c r="G15" i="1"/>
  <c r="I15" i="1" s="1"/>
  <c r="G14" i="1"/>
  <c r="I14" i="1" s="1"/>
  <c r="G13" i="1"/>
  <c r="I13" i="1" s="1"/>
  <c r="G12" i="1"/>
  <c r="I12" i="1" s="1"/>
  <c r="G11" i="1"/>
  <c r="I11" i="1" s="1"/>
  <c r="G10" i="1"/>
  <c r="I10" i="1" s="1"/>
  <c r="G9" i="1"/>
  <c r="I9" i="1" s="1"/>
  <c r="G8" i="1"/>
  <c r="I8" i="1" s="1"/>
  <c r="G7" i="1"/>
  <c r="I7" i="1" s="1"/>
  <c r="G6" i="1"/>
  <c r="I6" i="1" s="1"/>
  <c r="G5" i="1"/>
  <c r="I5" i="1" s="1"/>
  <c r="G4" i="1"/>
  <c r="I4" i="1" s="1"/>
  <c r="G3" i="1"/>
  <c r="I3" i="1" s="1"/>
  <c r="G2" i="1"/>
  <c r="I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<sst xmlns="http://schemas.openxmlformats.org/spreadsheetml/2006/main" count="2107" uniqueCount="590">
  <si>
    <t>ID</t>
  </si>
  <si>
    <t>Nome</t>
  </si>
  <si>
    <t>Progetto</t>
  </si>
  <si>
    <t>Anno</t>
  </si>
  <si>
    <t>Stato</t>
  </si>
  <si>
    <t>REY</t>
  </si>
  <si>
    <t>Importo finale</t>
  </si>
  <si>
    <t>Importo in offerta</t>
  </si>
  <si>
    <t>Sconto</t>
  </si>
  <si>
    <t>Prepara Offerta</t>
  </si>
  <si>
    <t>Leonardo - Elastic POC and stress/performance testing</t>
  </si>
  <si>
    <t>Leonardo</t>
  </si>
  <si>
    <t>Fatturata</t>
  </si>
  <si>
    <t>REYIT24-13133</t>
  </si>
  <si>
    <t>Leonardo - Login Optimization</t>
  </si>
  <si>
    <t>REYIT24-10651</t>
  </si>
  <si>
    <t>Leonardo - CMS new Pages implementation</t>
  </si>
  <si>
    <t>REYIT24-10650</t>
  </si>
  <si>
    <t>Leonardo - Teams / Vimeo &amp; LS / VC</t>
  </si>
  <si>
    <t>REYIT25-02204</t>
  </si>
  <si>
    <t>Leonardo - Internal Audit</t>
  </si>
  <si>
    <t>REYIT25-02338</t>
  </si>
  <si>
    <t>Leornado - CMS Module Expert</t>
  </si>
  <si>
    <t>REYIT25-02491</t>
  </si>
  <si>
    <t>Leonardo - Onboarding Semplification (pt2)</t>
  </si>
  <si>
    <t>REYIT25-02607</t>
  </si>
  <si>
    <t>Leonardo - Manager Assignment and Reassignment</t>
  </si>
  <si>
    <t>REYIT25-02791</t>
  </si>
  <si>
    <t>Leonardo - Learning Program Visibility Optional</t>
  </si>
  <si>
    <t>REYIT25-02790</t>
  </si>
  <si>
    <t>Leonardo - Content Language new development</t>
  </si>
  <si>
    <t>REYIT25-02908</t>
  </si>
  <si>
    <t>Leonardo - BFF Refactoring and Remodelling</t>
  </si>
  <si>
    <t>REYIT25-02969</t>
  </si>
  <si>
    <t>Leonardo - Course Catalog migration on SOLR</t>
  </si>
  <si>
    <t>REYIT25-02909</t>
  </si>
  <si>
    <t>Leonardo - Automatic Enrollment</t>
  </si>
  <si>
    <t>REYIT25-03469</t>
  </si>
  <si>
    <t>Leonardo - Automation Localization Workflows CMS Latest Collection</t>
  </si>
  <si>
    <t>REYIT25-04636</t>
  </si>
  <si>
    <t>Leonardo - Refactor PDP</t>
  </si>
  <si>
    <t>REYIT25-07583</t>
  </si>
  <si>
    <t>Leonardo - Headless delivery upgrade</t>
  </si>
  <si>
    <t>REYIT25-09018</t>
  </si>
  <si>
    <t>Leonardo - CMS Migration ONE</t>
  </si>
  <si>
    <t>REYIT25-09016</t>
  </si>
  <si>
    <t>Leonardo - Upgrade Moodle</t>
  </si>
  <si>
    <t>REYIT25-12673</t>
  </si>
  <si>
    <t>Leonardo - CRPACK Q1</t>
  </si>
  <si>
    <t>REYIT25-02127</t>
  </si>
  <si>
    <t>Leonardo - CRPACK Q2</t>
  </si>
  <si>
    <t>REYIT25-12407</t>
  </si>
  <si>
    <t>Leonardo - CRPACK Q3</t>
  </si>
  <si>
    <t>REYIT25-12408</t>
  </si>
  <si>
    <t>Leonardo - CRPACK Q4</t>
  </si>
  <si>
    <t>Leonardo - Cortex Antivirus Moodle(QU)</t>
  </si>
  <si>
    <t>REYIT25-12409</t>
  </si>
  <si>
    <t>Leonardo - Traduzione Moodboard</t>
  </si>
  <si>
    <t>REYIT25-12410</t>
  </si>
  <si>
    <t>AMS Backend for Frontend and small enhancements</t>
  </si>
  <si>
    <t>REYIT25-09311</t>
  </si>
  <si>
    <t>AMS Frontend and small enhancements</t>
  </si>
  <si>
    <t>REYIT25-09310</t>
  </si>
  <si>
    <t>Intranet - AMS ITO CoreMedia Intranet and small enhancements</t>
  </si>
  <si>
    <t>Intranet</t>
  </si>
  <si>
    <t>REYIT25-06562</t>
  </si>
  <si>
    <t>Intranet - AMS ITO Intranet and small enhancements</t>
  </si>
  <si>
    <t>REYIT25-06569</t>
  </si>
  <si>
    <t>Intranet - AMS ITO Novelties and small enhancements</t>
  </si>
  <si>
    <t>REYIT25-06575</t>
  </si>
  <si>
    <t>Intranet - Licenza TT</t>
  </si>
  <si>
    <t>Intranet - OEL Intranet AMS and small enhancements</t>
  </si>
  <si>
    <t>REYIT25-06538</t>
  </si>
  <si>
    <t>Leonardo - CR PACK CMS R1.2026</t>
  </si>
  <si>
    <t>Inviata</t>
  </si>
  <si>
    <t>REYIT26-02354</t>
  </si>
  <si>
    <t>Leonardo - Massive_Retraining</t>
  </si>
  <si>
    <t>REYIT26-02352</t>
  </si>
  <si>
    <t>Leonardo - Manager Assignment Extention</t>
  </si>
  <si>
    <t>REYIT26-02349</t>
  </si>
  <si>
    <t>Leonardo - Migration to NAM</t>
  </si>
  <si>
    <t>REYIT26-02348</t>
  </si>
  <si>
    <t>Leonardo  - Coins Deprecation</t>
  </si>
  <si>
    <t>REYIT26-02346</t>
  </si>
  <si>
    <t>Leonardo - CR PACK Q1</t>
  </si>
  <si>
    <t>REYIT26-02356</t>
  </si>
  <si>
    <t>Intranet - Evolutions Q1</t>
  </si>
  <si>
    <t>REYIT26-02454</t>
  </si>
  <si>
    <t>W2EL - DevOps Activities</t>
  </si>
  <si>
    <t>Altro</t>
  </si>
  <si>
    <t>REYIT26-02512</t>
  </si>
  <si>
    <t>Back End Developer for EHR Team</t>
  </si>
  <si>
    <t>REYIT26-02344</t>
  </si>
  <si>
    <t>Leonardo - Program Simplification New UI</t>
  </si>
  <si>
    <t>REYIT26-03330</t>
  </si>
  <si>
    <t>Leonardo - Translator-J CMS</t>
  </si>
  <si>
    <t>REYIT26-03331</t>
  </si>
  <si>
    <t>Leonardo - Log Activation W1</t>
  </si>
  <si>
    <t>REYIT26-03332</t>
  </si>
  <si>
    <t>Leonardo - Homepage on CMS (CAE to CAAS)</t>
  </si>
  <si>
    <t>REYIT26-07179</t>
  </si>
  <si>
    <t>AMS VIVA App [Mobile]</t>
  </si>
  <si>
    <t>VIVA</t>
  </si>
  <si>
    <t>REYIT26-03322</t>
  </si>
  <si>
    <t>AMS VIVA App [Backend]</t>
  </si>
  <si>
    <t>REYIT26-03323</t>
  </si>
  <si>
    <t>AMS VIVA App [DevOps]</t>
  </si>
  <si>
    <t>REYIT26-03324</t>
  </si>
  <si>
    <t>VIVA App - SAP Integration [Standard Recall]</t>
  </si>
  <si>
    <t>REYIT26-03325</t>
  </si>
  <si>
    <t>VIVA App - PDF in App</t>
  </si>
  <si>
    <t>REYIT26-03326</t>
  </si>
  <si>
    <t>VIVA App - Model Stock, Completion Report &amp; Small Enhancement</t>
  </si>
  <si>
    <t>REYIT26-03327</t>
  </si>
  <si>
    <t>Leonardo - Upgrade CoreMedia 12</t>
  </si>
  <si>
    <t>REYIT26-03334</t>
  </si>
  <si>
    <t>Intranet - Upgrade TT</t>
  </si>
  <si>
    <t>REYIT26-03966</t>
  </si>
  <si>
    <t xml:space="preserve">OEL Intranet AMS and small enhancements </t>
  </si>
  <si>
    <t>REYIT26-06355</t>
  </si>
  <si>
    <t>Licenza TT per Intranet</t>
  </si>
  <si>
    <t>REYIT26-06496</t>
  </si>
  <si>
    <t>REYIT26-06356</t>
  </si>
  <si>
    <t>REYIT26-06358</t>
  </si>
  <si>
    <t>AMS ITO Coremedia Intranet and small enhancements</t>
  </si>
  <si>
    <t>REYIT26-06359</t>
  </si>
  <si>
    <t>AMS ITO Intranet and small enhancements</t>
  </si>
  <si>
    <t>REYIT26-06362</t>
  </si>
  <si>
    <t>AMS ITO Novelties and small enhancements</t>
  </si>
  <si>
    <t>REYIT26-06704</t>
  </si>
  <si>
    <t>AMS ITO DevOps Leonardo and small enhancements</t>
  </si>
  <si>
    <t>REYIT26-06497</t>
  </si>
  <si>
    <t>AMS Coremedia CMS and small enhancements</t>
  </si>
  <si>
    <t>REYIT26-06480</t>
  </si>
  <si>
    <t>Intranet - Hub Improvements and Video upload for widget</t>
  </si>
  <si>
    <t>REYIT26-07211</t>
  </si>
  <si>
    <t>VIVA - Labor Report</t>
  </si>
  <si>
    <t>REYIT26-07212</t>
  </si>
  <si>
    <t>VIVA - Backoffice for Power User</t>
  </si>
  <si>
    <t>REYIT26-07526</t>
  </si>
  <si>
    <t>VIVA - Android version &amp; New MDM Integration</t>
  </si>
  <si>
    <t>REYIT26-07528</t>
  </si>
  <si>
    <t>VIVA - OSDonation Integration</t>
  </si>
  <si>
    <t>REYIT26-07530</t>
  </si>
  <si>
    <t>VIVA - Live Report</t>
  </si>
  <si>
    <t>REYIT26-07532</t>
  </si>
  <si>
    <t>VIVA - Extra support x OSDonation Sessions 2026</t>
  </si>
  <si>
    <t>Da Inviare</t>
  </si>
  <si>
    <t>VIVA - Upgrade ReactNative &amp; other outdated components</t>
  </si>
  <si>
    <t>VIVA - CR Pack Q2</t>
  </si>
  <si>
    <t>VIVA - CR Pack Q3</t>
  </si>
  <si>
    <t>VIVA - CR Pack Q4</t>
  </si>
  <si>
    <t>Backend Developer for EHR Team - Q3</t>
  </si>
  <si>
    <t>REYIT26-06049</t>
  </si>
  <si>
    <t>Attività</t>
  </si>
  <si>
    <t>Data iniziativa</t>
  </si>
  <si>
    <t>RELEASE</t>
  </si>
  <si>
    <t>Ref. Luxottica</t>
  </si>
  <si>
    <t>Codice REY</t>
  </si>
  <si>
    <t>Ref. Stima</t>
  </si>
  <si>
    <t>Importo</t>
  </si>
  <si>
    <t>Importo scontato</t>
  </si>
  <si>
    <t>Sconto %</t>
  </si>
  <si>
    <t>B2B - CTIA</t>
  </si>
  <si>
    <t>FE</t>
  </si>
  <si>
    <t>CMS</t>
  </si>
  <si>
    <t>BFF</t>
  </si>
  <si>
    <t>CTIA - DevOps</t>
  </si>
  <si>
    <t>Altri team</t>
  </si>
  <si>
    <t>Riferimento stima</t>
  </si>
  <si>
    <t>Old stima</t>
  </si>
  <si>
    <t>Leonardo - Teams New API</t>
  </si>
  <si>
    <t>Carlo Stella</t>
  </si>
  <si>
    <t>Verzeletti</t>
  </si>
  <si>
    <t>5.b Fatturato</t>
  </si>
  <si>
    <t>https://reply.sharepoint.com/:x:/r/sites/University-stimeepiani/Shared%20Documents/stime%20e%20piani/IN%20STIMA/Leonardo%20-%20Teams%20New%20API.xlsx?d=wb726c7a9fcd147efac8942fc1bef57d2&amp;csf=1&amp;web=1&amp;e=rmmC5i</t>
  </si>
  <si>
    <t>Leonardo - Test nuovi ambienti</t>
  </si>
  <si>
    <t>oct-24</t>
  </si>
  <si>
    <t>https://reply.sharepoint.com/:x:/r/sites/University-stimeepiani/_layouts/15/Doc.aspx?sourcedoc=%7B16BF94AF-CE1B-4CA9-B616-06DE393A745E%7D&amp;file=ELL-3813%20Leonardo%20-%20Test%20nuovi%20ambienti.xlsx&amp;action=default&amp;mobileredirect=true</t>
  </si>
  <si>
    <t>Leonardo - Elastic POC</t>
  </si>
  <si>
    <t>Furci</t>
  </si>
  <si>
    <t>https://reply.sharepoint.com/:x:/r/sites/University-stimeepiani/_layouts/15/Doc2.aspx?action=edit&amp;sourcedoc=%7B814f46cf-623e-4a2b-aba7-0e848fadedd0%7D&amp;wdOrigin=TEAMS-MAGLEV.teamsSdk_ns.rwc&amp;wdExp=TEAMS-TREATMENT&amp;wdhostclicktime=1734018141064&amp;web=1&amp;ovuser=b00367e2-193a-4f48-94de-7245d45c0947%2Cm.verzeletti%40reply.it&amp;clickparams=eyJBcHBOYW1lIjoiVGVhbXMtRGVza3RvcCIsIkFwcFZlcnNpb24iOiI1MC8yNDExMDExNTcyMiIsIkhhc0ZlZGVyYXRlZFVzZXIiOmZhbHNlfQ%3D%3D</t>
  </si>
  <si>
    <t>Leonardo - Video Tracking Dynamic Timing</t>
  </si>
  <si>
    <t>ELL-2999 - Leonardo - Video Tracking Dynamic Timing.xlsx</t>
  </si>
  <si>
    <t>https://reply.sharepoint.com/:x:/r/sites/University-stimeepiani/_layouts/15/Doc2.aspx?action=edit&amp;sourcedoc=%7B75f8fafa-67eb-4f5c-b2fd-7df03b5fd4cd%7D&amp;wdOrigin=TEAMS-MAGLEV.teamsSdk_ns.rwc&amp;wdExp=TEAMS-TREATMENT&amp;wdhostclicktime=1729245012865&amp;web=1</t>
  </si>
  <si>
    <t>https://reply.sharepoint.com/:x:/r/sites/University-stimeepiani/_layouts/15/doc2.aspx?sourcedoc=%7B2E99CEA4-4A54-4123-B9C7-24470762B6B1%7D&amp;file=Leonardo%20-%20Login%20Optimization%20v2.xlsx&amp;action=default&amp;mobileredirect=true</t>
  </si>
  <si>
    <t>Leonardo - Reperibilità</t>
  </si>
  <si>
    <t>Leonardo - Stress Tests Session</t>
  </si>
  <si>
    <t>https://reply.sharepoint.com/:x:/r/sites/University-stimeepiani/_layouts/15/Doc2.aspx?action=edit&amp;sourcedoc=%7Bd61bf720-526c-47ff-a425-806446bfc7c3%7D&amp;wdOrigin=TEAMS-MAGLEV.teamsSdk_ns.rwc&amp;wdExp=TEAMS-TREATMENT&amp;wdhostclicktime=1732529183444&amp;web=1</t>
  </si>
  <si>
    <t>Leonardo - Collection wave 3 - pt2</t>
  </si>
  <si>
    <t>5. Ordine ricevuto</t>
  </si>
  <si>
    <t>https://reply.sharepoint.com/:x:/r/sites/University-stimeepiani/Shared%20Documents/stime%20e%20piani/IN%20STIMA/Leonardo%20-%20Collection%20Wave%203.xlsx?d=w3dcb3df06bfb4c2e99daa1b9fba6c7d3&amp;csf=1&amp;web=1&amp;e=vRtHtJ</t>
  </si>
  <si>
    <t>Leonardo - CR Team CMS Luglio</t>
  </si>
  <si>
    <t>-</t>
  </si>
  <si>
    <t>Leonardo - Team CMS Luglio.xlsx</t>
  </si>
  <si>
    <t>Leonardo - CR Team CMS Dicembre 24</t>
  </si>
  <si>
    <t>https://reply.sharepoint.com/:x:/r/sites/University-stimeepiani/_layouts/15/Doc2.aspx?action=edit&amp;sourcedoc=%7B16c4efce-72c6-4838-9220-4e93f8ab38fb%7D&amp;wdOrigin=TEAMS-MAGLEV.teamsSdk_ns.rwc&amp;wdExp=TEAMS-TREATMENT&amp;wdhostclicktime=1730826335774&amp;web=1</t>
  </si>
  <si>
    <t>4.a Offerta inviata a ufficio acquisti</t>
  </si>
  <si>
    <t>ELL-3950 - Leonardo - Teams Vimeo.xlsx</t>
  </si>
  <si>
    <t>Leonardo - Audit 24 - Approval Step</t>
  </si>
  <si>
    <t>ELL-4208 - Leonardo - Audit 24 - Approval Step.xlsx</t>
  </si>
  <si>
    <t>Leonardo - Audit 24 - Data Anonymization</t>
  </si>
  <si>
    <t>ELL-4208 - Leonardo - Audit 24 - Data Anonimization.xlsx</t>
  </si>
  <si>
    <t>Leonardo - CR TEAM CMS Marzo 2025</t>
  </si>
  <si>
    <t>Leonardo - Team CMS CR Marzo 2025.xlsx</t>
  </si>
  <si>
    <t>Leonardo - Modulo Experts CMS</t>
  </si>
  <si>
    <t>ELL-4401 - Leonardo CMS Expert Module.xlsx</t>
  </si>
  <si>
    <t>Leonardo - Onboarding Semplification</t>
  </si>
  <si>
    <t>REYIT24-13130</t>
  </si>
  <si>
    <t>ELL-3681 - Leonardo - OB Semplification_v2.xlsx</t>
  </si>
  <si>
    <t>Leonardo - Onboarding Semplification - pt2</t>
  </si>
  <si>
    <t>Leonardo - Manager Assignment</t>
  </si>
  <si>
    <t>https://reply.sharepoint.com/:x:/r/sites/University-stimeepiani/_layouts/15/Doc.aspx?sourcedoc=%7B1936F972-96D1-477C-8E9D-A3D5E4C93F60%7D&amp;file=Leonardo%20template.xlsx&amp;action=default&amp;mobileredirect=true&amp;wdsle=0</t>
  </si>
  <si>
    <t>Leonardo - LP Visibility Optional</t>
  </si>
  <si>
    <t>https://reply.sharepoint.com/:x:/r/sites/University-stimeepiani/_layouts/15/Doc2.aspx?action=edit&amp;sourcedoc=%7B932b8af2-56f7-4391-8de5-8b69b535aad8%7D&amp;wdOrigin=TEAMS-MAGLEV.teamsSdk_ns.rwc&amp;wdExp=TEAMS-TREATMENT&amp;wdhostclicktime=1733131932576&amp;web=1</t>
  </si>
  <si>
    <t>Leonardo - Content Language Management</t>
  </si>
  <si>
    <t>2. Stima approvata</t>
  </si>
  <si>
    <t>ELL-3651 - Leonardo - Content Language Management.xlsx</t>
  </si>
  <si>
    <t>Leonardo - Rimodulazione architettura BFF</t>
  </si>
  <si>
    <t>https://reply.sharepoint.com/:x:/r/sites/University-stimeepiani/Shared%20Documents/stime%20e%20piani/IN%20STIMA/ELL-3757%20-%20Leonardo%20-%20Rimodulazione%20architettura%20BFF.xlsx?d=w57ecd37669794a6889c230e457b4c992&amp;csf=1&amp;web=1&amp;e=uUHLh1</t>
  </si>
  <si>
    <t>Leonardo - Async Loading Manager Assignment</t>
  </si>
  <si>
    <t>Leonardo - Async Loading Manager Assignment.xlsx</t>
  </si>
  <si>
    <t>LUX - Catalog Opt. - ph 2 - Catalog Refactorization</t>
  </si>
  <si>
    <t>https://reply.sharepoint.com/:x:/r/sites/University-stimeepiani/_layouts/15/Doc2.aspx?action=edit&amp;sourcedoc=%7B8ab7003c-b42e-4054-a7b9-bf9159d9ea4b%7D&amp;wdOrigin=TEAMS-MAGLEV.teamsSdk_ns.rwc&amp;wdExp=TEAMS-TREATMENT&amp;wdhostclicktime=1736873121548&amp;web=1&amp;clickparams=eyJBcHBOYW1lIjoiVGVhbXMtRGVza3RvcCIsIkFwcFZlcnNpb24iOiI1MC8yNDEyMDEwMDIxMyJ9</t>
  </si>
  <si>
    <t>Leonardo - Stress Tests and Rollout Manag Assign Cap100</t>
  </si>
  <si>
    <t>https://reply.sharepoint.com/:x:/r/sites/University-stimeepiani/_layouts/15/Doc2.aspx?action=edit&amp;sourcedoc=%7B04620e5a-ee7e-4e8b-abce-06ae10e09ecc%7D&amp;wdOrigin=TEAMS-MAGLEV.teamsSdk_ns.rwc&amp;wdExp=TEAMS-TREATMENT&amp;wdhostclicktime=1741714743184&amp;web=1&amp;ovuser=b00367e2-193a-4f48-94de-7245d45c0947%2Cm.verzeletti%40reply.it&amp;clickparams=eyJBcHBOYW1lIjoiVGVhbXMtRGVza3RvcCIsIkFwcFZlcnNpb24iOiI1MC8yNTAyMTQwMDkxMiIsIkhhc0ZlZGVyYXRlZFVzZXIiOmZhbHNlfQ%3D%3D</t>
  </si>
  <si>
    <t>ELL-4516 - Leonardo - Automatic Flow Latest Collection.xlsx</t>
  </si>
  <si>
    <t>Leonardo - CR PACK CMS Apr 25</t>
  </si>
  <si>
    <t>Leonardo - CR PACK CMS - LEON-10086.xlsx</t>
  </si>
  <si>
    <t>Leonardo - Hypercare Upgrade Moodle</t>
  </si>
  <si>
    <t>Losi</t>
  </si>
  <si>
    <t>Thread Mail</t>
  </si>
  <si>
    <t>https://reply.sharepoint.com/:x:/r/sites/University-stimeepiani/_layouts/15/Doc.aspx?sourcedoc=%7BE9F156F3-E429-4EAD-A529-D6AA08BD6BF2%7D&amp;file=Leonardo%20-%20PDP%20Refactor.xlsx&amp;action=default&amp;mobileredirect=true</t>
  </si>
  <si>
    <t>Leonardo - CMS Migration to ONE</t>
  </si>
  <si>
    <t>ELL-4114 Leonardo - CMS Migration to ONE_v1.xlsx</t>
  </si>
  <si>
    <t>https://reply.sharepoint.com/:x:/r/sites/University-stimeepiani/_layouts/15/Doc2.aspx?action=edit&amp;sourcedoc=%7Bcee75ede-27c1-464e-b15b-8f9d9a1bc9a3%7D&amp;wdOrigin=TEAMS-MAGLEV.teamsSdk_ns.rwc&amp;wdExp=TEAMS-TREATMENT&amp;wdhostclicktime=1743160304913&amp;web=1</t>
  </si>
  <si>
    <t>https://reply.sharepoint.com/:x:/r/sites/University-stimeepiani/_layouts/15/Doc2.aspx?action=edit&amp;sourcedoc=%7Bec12c297-6780-4e58-8587-9fee084c59f3%7D&amp;wdOrigin=TEAMS-MAGLEV.teamsSdk_ns.rwc&amp;wdExp=TEAMS-TREATMENT&amp;wdhostclicktime=1743160307271&amp;web=1</t>
  </si>
  <si>
    <t>https://reply.sharepoint.com/:x:/r/sites/University-stimeepiani/_layouts/15/Doc2.aspx?action=edit&amp;sourcedoc=%7Bf14edfbd-1bf2-46eb-bca4-4aeded31d623%7D&amp;wdOrigin=TEAMS-MAGLEV.teamsSdk_ns.rwc&amp;wdExp=TEAMS-TREATMENT&amp;wdhostclicktime=1741792439279&amp;web=1</t>
  </si>
  <si>
    <t>Quality</t>
  </si>
  <si>
    <t>Leonardo - C560360L Flusso di traduzione Moodboard</t>
  </si>
  <si>
    <t>Orlandi</t>
  </si>
  <si>
    <t>https://reply.sharepoint.com/:x:/r/sites/University-stimeepiani/Shared%20Documents/stime%20e%20piani/IN%20STIMA/C560360L%20-%20flusso%20di%20traduzione%20Moodboard.xlsx?d=w93cd64a820e1487284151d9a4106e678&amp;csf=1&amp;web=1&amp;e=8dzoNh</t>
  </si>
  <si>
    <t>https://reply.sharepoint.com/:x:/r/sites/University-stimeepiani/_layouts/15/Doc2.aspx?action=edit&amp;sourcedoc=%7B3bad514a-29ef-4ee1-b32d-eed045da203c%7D&amp;wdOrigin=TEAMS-MAGLEV.teamsSdk_ns.rwc&amp;wdExp=TEAMS-TREATMENT&amp;wdhostclicktime=1759852920062&amp;web=1</t>
  </si>
  <si>
    <t>4. Offerta Inviata IT</t>
  </si>
  <si>
    <t>ELL-4912 - Leonardo - NAM Integration.xlsx</t>
  </si>
  <si>
    <t>Leonardo - Stress Test NAM Integration</t>
  </si>
  <si>
    <t>https://reply.sharepoint.com/:x:/r/sites/University-stimeepiani/_layouts/15/Doc.aspx?sourcedoc=%7Bbf351f28-6bb8-49a2-88d8-ce531951a605%7D&amp;action=edit&amp;wdPreviousSession=2bf705f4-2fee-60e7-bfe1-098e69628046</t>
  </si>
  <si>
    <t>Leonardo - Massive Retraining</t>
  </si>
  <si>
    <t>ELL-5067 - Leonardo - Massive Retraining.xlsx</t>
  </si>
  <si>
    <t>Leonardo - Manager Assignment Estensione</t>
  </si>
  <si>
    <t>ELL-4940 - Leonardo - Manager Assign Extension.xlsx</t>
  </si>
  <si>
    <t>Leonardo - Coins Deprecation</t>
  </si>
  <si>
    <t>https://reply.sharepoint.com/:x:/r/sites/University-stimeepiani/Shared%20Documents/stime%20e%20piani/IN%20STIMA/Leonardo%20-%20COIN%20Deprecation.xlsx?d=wa1432a63428c4d61b69aa89e38efef47&amp;csf=1&amp;web=1&amp;e=6dh914</t>
  </si>
  <si>
    <t>ELL-4880 - Leonardo - Program Simplification.xlsx</t>
  </si>
  <si>
    <t>Leonardo - Log Activation POC</t>
  </si>
  <si>
    <t>Dic-25</t>
  </si>
  <si>
    <t>REYIT26-06677</t>
  </si>
  <si>
    <t>https://reply.sharepoint.com/:x:/r/sites/University-stimeepiani/_layouts/15/Doc.aspx?sourcedoc=%7B596137fe-e994-4520-9601-8afa8ce3e631%7D&amp;action=edit&amp;wdPreviousSession=631f9d00-6c43-dfe8-938f-a26e1b59ee21</t>
  </si>
  <si>
    <t>Leonardo - Log Activation</t>
  </si>
  <si>
    <t>Mar-26 -&gt; Set-26</t>
  </si>
  <si>
    <t>REYIT26-03330 
REYIT26-06677</t>
  </si>
  <si>
    <t>https://reply.sharepoint.com/:x:/r/sites/University-stimeepiani/_layouts/15/Doc.aspx?sourcedoc=%7Bf4a8f17b-ed2a-4b4e-a499-5e5236ed4144%7D&amp;action=edit&amp;wdPreviousSession=9f5ac88c-2a13-ed9d-2e92-52aaa62ac178</t>
  </si>
  <si>
    <t>ELL-4998 - Leonardo - LOG Activation.xlsx</t>
  </si>
  <si>
    <t>Leonardo - LEO-1334 CMS label extraction</t>
  </si>
  <si>
    <t>6. On hold</t>
  </si>
  <si>
    <t>Leonardo - LEO-1334 CMS Label Extraction.xlsx</t>
  </si>
  <si>
    <t>https://reply.sharepoint.com/:x:/r/sites/University-stimeepiani/_layouts/15/Doc2.aspx?action=edit&amp;sourcedoc=%7Bfd43505a-d363-4a39-ae9d-d0a1ac2e1b41%7D&amp;wdOrigin=TEAMS-MAGLEV.teamsSdk_ns.rwc&amp;wdExp=TEAMS-TREATMENT&amp;wdhostclicktime=1762784559921&amp;web=1</t>
  </si>
  <si>
    <t>Leonardo - Translator-J CMS DevOps</t>
  </si>
  <si>
    <t>https://reply.sharepoint.com/:x:/r/sites/University-stimeepiani/_layouts/15/Doc.aspx?sourcedoc=%7Ba5a9307d-db2c-4fa9-aed5-aa9c6cdd6239%7D&amp;action=edit&amp;wdPreviousSession=a6cbcfab-aec7-40b1-6a6c-3b6624db4f33</t>
  </si>
  <si>
    <t>Leonardo - Translator-J CMS lite.xlsx</t>
  </si>
  <si>
    <t>Leonardo - LEO-2211 CMS Translator J contents</t>
  </si>
  <si>
    <t>https://reply.sharepoint.com/:x:/r/sites/University-stimeepiani/_layouts/15/Doc2.aspx?action=edit&amp;sourcedoc=%7Bef21710c-f025-44b9-a0e3-e9073697f116%7D&amp;wdOrigin=TEAMS-MAGLEV.teamsSdk_ns.rwc&amp;wdExp=TEAMS-TREATMENT&amp;wdhostclicktime=1772446599026&amp;web=1</t>
  </si>
  <si>
    <t>REYIT26-07179
REYIT26-07237</t>
  </si>
  <si>
    <t>ELL-3225 - HP on CMS Optimize v2.xlsx</t>
  </si>
  <si>
    <t>Leonardo - CMS HP Banner integration</t>
  </si>
  <si>
    <t>REYIT26-07791</t>
  </si>
  <si>
    <t>https://reply.sharepoint.com/:x:/r/sites/University-stimeepiani/_layouts/15/Doc2.aspx?action=edit&amp;sourcedoc=%7Be1012896-44b8-4a74-ab7b-76ecc6edd927%7D&amp;wdOrigin=TEAMS-MAGLEV.teamsSdk_ns.rwc&amp;wdExp=TEAMS-TREATMENT&amp;wdhostclicktime=1772115339742&amp;web=1&amp;ovuser=b00367e2-193a-4f48-94de-7245d45c0947%2Cm.verzeletti%40reply.it&amp;clickparams=eyJBcHBOYW1lIjoiVGVhbXMtRGVza3RvcCIsIkFwcFZlcnNpb24iOiI1MC8yNjAyMDEwMTExNyIsIkhhc0ZlZGVyYXRlZFVzZXIiOmZhbHNlfQ%3D%3D</t>
  </si>
  <si>
    <t>Leonardo - Rating Deprecation</t>
  </si>
  <si>
    <t>Set-26</t>
  </si>
  <si>
    <t>REYIT26-07789</t>
  </si>
  <si>
    <t>ELL-4447 - Leonardo - Rating Deprecation.xlsx</t>
  </si>
  <si>
    <t>Leonardo - NTYS NTYC T35 TP Dismission</t>
  </si>
  <si>
    <t>Giu-26</t>
  </si>
  <si>
    <t>REYIT26-06676</t>
  </si>
  <si>
    <t>https://reply.sharepoint.com/:x:/r/sites/University-stimeepiani/_layouts/15/Doc.aspx?sourcedoc=%7B33e23f64-588b-4e60-8098-cffefa184672%7D&amp;action=edit&amp;wdPreviousSession=206277b6-b6ff-6502-d75e-cc1ece2ed6f4</t>
  </si>
  <si>
    <t>Leonardo - Upgrade Coremedia 12 CMS ONE</t>
  </si>
  <si>
    <t>Mag-26</t>
  </si>
  <si>
    <t>Leonardo - Upgrade CMS ONE Coremedia 12.xlsx</t>
  </si>
  <si>
    <t>Leonardo - Virtual Coach</t>
  </si>
  <si>
    <t>REYIT26-08324</t>
  </si>
  <si>
    <t>https://reply.sharepoint.com/:x:/r/sites/University-stimeepiani/_layouts/15/Doc2.aspx?action=edit&amp;sourcedoc=%7Bf9831ac4-b912-43b0-9f4a-edeef8c38c0f%7D&amp;wdOrigin=TEAMS-MAGLEV.teamsSdk_ns.rwc&amp;wdExp=TEAMS-TREATMENT&amp;wdhostclicktime=1765808237875&amp;web=1</t>
  </si>
  <si>
    <t>Leonardo - Virtual Coach Integration</t>
  </si>
  <si>
    <t>https://reply.sharepoint.com/:x:/r/sites/University-stimeepiani/_layouts/15/Doc.aspx?sourcedoc=%7B4A997568-FB1C-43C4-B04B-D5AFDAC917C3%7D&amp;file=ELL-5172%20-%20Leonardo%20-%20Virtual%20Coach%20Integration.xlsx&amp;action=default&amp;mobileredirect=true</t>
  </si>
  <si>
    <t>Leonardo - Deprecation Coins DBA Support</t>
  </si>
  <si>
    <t>https://reply.sharepoint.com/:x:/r/sites/University-stimeepiani/_layouts/15/Doc.aspx?sourcedoc=%7Be6dc43ff-3697-4259-b9d7-8f7957092b33%7D&amp;action=edit&amp;wdPreviousSession=8fb2f95e-0a4f-51c4-2b22-8e6402c4f3e5</t>
  </si>
  <si>
    <t>Leonardo - Quality CRPACK Q1 2026</t>
  </si>
  <si>
    <t>Gen-26</t>
  </si>
  <si>
    <t>https://reply.sharepoint.com/:x:/r/sites/University-stimeepiani/_layouts/15/Doc.aspx?sourcedoc=%7Ba646e299-678b-4d56-9c56-fc5330ed6a2f%7D&amp;action=edit&amp;wdPreviousSession=f382eedf-8ff8-8d4a-b943-4dba01d25cf2</t>
  </si>
  <si>
    <t>Leonardo - Quality CRPACK Q2 2026</t>
  </si>
  <si>
    <t>Leonardo - CRPACK Q2 2025.xlsx</t>
  </si>
  <si>
    <t>Leonardo - User centric homepage - CMS - fase 1</t>
  </si>
  <si>
    <t>REYIT26-07237</t>
  </si>
  <si>
    <t>ELL-5341 - Leonardo - New Homepage UI part 1.xlsx</t>
  </si>
  <si>
    <t>Leonardo - User centric homepage - CMS - fase 2</t>
  </si>
  <si>
    <t>Ott-26</t>
  </si>
  <si>
    <t>compresi 18.5gg contingency</t>
  </si>
  <si>
    <t>ELL-5432 - Leonardo - User centric homepage - CMS - fase 2.xlsx</t>
  </si>
  <si>
    <t>ELL-5432 - Leonardo - User centric homepage - CMS - fase 2 - v2.xlsx</t>
  </si>
  <si>
    <t>Leonardo - Program Simplification Backend</t>
  </si>
  <si>
    <t>Leonardo - BE Program Simplification.xlsx</t>
  </si>
  <si>
    <t>Leonardo - Program Simplification Integrazione FE</t>
  </si>
  <si>
    <t>Leonardo - LP FE Intragration.xlsx</t>
  </si>
  <si>
    <t>Leonardo - CR PACK CMS R8.2026</t>
  </si>
  <si>
    <t>Leonardo - CR PACK CMS R8.2026.xlsx</t>
  </si>
  <si>
    <t>Leonardo - New Video Platform</t>
  </si>
  <si>
    <t>REYIT26-07899</t>
  </si>
  <si>
    <t>compresi 6gg contingency</t>
  </si>
  <si>
    <t>Leonardo - New Video Platform.xlsx</t>
  </si>
  <si>
    <t>Leonardo - New PDP Redesign</t>
  </si>
  <si>
    <t>Leonardo - HR Activity completion upload</t>
  </si>
  <si>
    <t>REYIT26-07895</t>
  </si>
  <si>
    <t>compresi 20gg contingency</t>
  </si>
  <si>
    <t>Leonardo - HR activity completion upload.xlsx</t>
  </si>
  <si>
    <t>Leonardo - HR activity completion upload_v2.xlsx</t>
  </si>
  <si>
    <t>Leonardo - Quality CRPACK Q3 2026</t>
  </si>
  <si>
    <t>REYIT26-07238</t>
  </si>
  <si>
    <t>https://reply.sharepoint.com/:x:/r/sites/University-stimeepiani/_layouts/15/Doc.aspx?sourcedoc=%7Bea8039f1-391e-4162-a175-d23aa8f44a33%7D&amp;action=edit&amp;wdPreviousSession=25e6662c-a7a0-66b6-2213-9380c4fae193</t>
  </si>
  <si>
    <t>DELTA per riduzione 10%</t>
  </si>
  <si>
    <t>REYIT26-07899
REYIT26-07895</t>
  </si>
  <si>
    <t>Leonardo - Cortex Antivirus Moodle(PROD)</t>
  </si>
  <si>
    <t>https://reply.sharepoint.com/:x:/r/sites/University-stimeepiani/_layouts/15/Doc.aspx?sourcedoc=%7B5cf2afca-bca5-4a04-81b1-16bb5bda22f2%7D&amp;action=edit&amp;wdPreviousSession=790600c6-ab1a-5267-f6de-3d50f8239e4e</t>
  </si>
  <si>
    <t>Leonardo - CR CMS Media Federation</t>
  </si>
  <si>
    <t>https://reply.sharepoint.com/:x:/r/sites/University-stimeepiani/_layouts/15/Doc.aspx?sourcedoc=%7Baa1d19f2-7e44-4efe-9160-8bf583cf827e%7D&amp;action=edit&amp;wdPreviousSession=564c6707-ab37-295d-985a-38e0043c3674</t>
  </si>
  <si>
    <t>Leonardo - Quality CRPACK Q4 2026</t>
  </si>
  <si>
    <t>Dic-26</t>
  </si>
  <si>
    <t>0. In stima</t>
  </si>
  <si>
    <t>Leonardo - MANHATTAN MYEL Login Semplification</t>
  </si>
  <si>
    <t>https://reply.sharepoint.com/:x:/r/sites/University-stimeepiani/_layouts/15/Doc.aspx?action=edit&amp;sourcedoc=%7B1c6617ce-b5de-4654-9867-be4c598a0123%7D&amp;wdExp=TEAMS-TREATMENT&amp;web=1&amp;TeamsCID=49bd0788-d92d-474f-a1e1-9680b0e2b860</t>
  </si>
  <si>
    <t>leonardo - MySql DB CMS (Solo NRT)</t>
  </si>
  <si>
    <t>Q4 26</t>
  </si>
  <si>
    <t>Leonardo - My Team Redesign</t>
  </si>
  <si>
    <t>Leonardo - My Team Redesign.xlsx</t>
  </si>
  <si>
    <t>Leonardo - BYC on CMSONE</t>
  </si>
  <si>
    <t>EssilorLuxottica - Standard DevOps GitHub Enterprise</t>
  </si>
  <si>
    <t>Minoia Daniele</t>
  </si>
  <si>
    <t>https://reply.sharepoint.com/:x:/s/University-stimeepiani/IQBbajBlCCtoS4kz41BHLU7VAZpXnftnsI2KmeI5lNdwAg8?e=ezPugg</t>
  </si>
  <si>
    <t>DELTA 2 per riduzione 10%</t>
  </si>
  <si>
    <t>Activities</t>
  </si>
  <si>
    <t>Commessa</t>
  </si>
  <si>
    <t>Offers</t>
  </si>
  <si>
    <t>Colonna1</t>
  </si>
  <si>
    <t>Colonna2</t>
  </si>
  <si>
    <t>Inserita</t>
  </si>
  <si>
    <t>LUXO-BLUEIT-22-2-75 - Leonardo 2024</t>
  </si>
  <si>
    <t>03Elastic POC</t>
  </si>
  <si>
    <t>LUXO-BLUEIT-22-2-90 - Leonardo 2025</t>
  </si>
  <si>
    <t xml:space="preserve">XXX-XXX-XTECH - </t>
  </si>
  <si>
    <t xml:space="preserve">XXX-MCI-ITO - </t>
  </si>
  <si>
    <t>LUXO-BLUEIT-22-2-78 - AM Leonardo 2024</t>
  </si>
  <si>
    <t>LUXO-BLUEIT-22-2-81 - Leonardo 2024 - Formazione</t>
  </si>
  <si>
    <t>04Login optimization</t>
  </si>
  <si>
    <t xml:space="preserve">XXX-DPM-ITO - </t>
  </si>
  <si>
    <t>05Stresstest q4</t>
  </si>
  <si>
    <t>////modifica puntamento</t>
  </si>
  <si>
    <t xml:space="preserve">XXX-XXX-WDWP - </t>
  </si>
  <si>
    <t>////traduttore ai</t>
  </si>
  <si>
    <t>06Teams / Vimeo &amp; LS / VC</t>
  </si>
  <si>
    <t>7 Teams Vimeo</t>
  </si>
  <si>
    <t>LUXO-BLUEIT-22-2-89 - Leonardo - Fe Support 2025</t>
  </si>
  <si>
    <t>Leonardo - Manager Assignment pt2</t>
  </si>
  <si>
    <t>Leonardo - CMS New Pages Improvements</t>
  </si>
  <si>
    <t>Login_Optimization</t>
  </si>
  <si>
    <t>xxxx</t>
  </si>
  <si>
    <t>LUXO-BLUEIT-22-2-103 - Leonardo formazione 2025</t>
  </si>
  <si>
    <t>07Internal Audit</t>
  </si>
  <si>
    <t>Modulo Experts CMS</t>
  </si>
  <si>
    <t>4 Modulo Expert</t>
  </si>
  <si>
    <t>BASELINE</t>
  </si>
  <si>
    <t>2 Onboarding semplificatin</t>
  </si>
  <si>
    <t>LUXO-BLUEIT-22-2-69 - Leonardo - Fe Support 2024</t>
  </si>
  <si>
    <t>Ordine 4540755203 sconto</t>
  </si>
  <si>
    <t>08Manager Assignement</t>
  </si>
  <si>
    <t>3 LP visibility</t>
  </si>
  <si>
    <t>09LP Visibility Optional</t>
  </si>
  <si>
    <t>10Content language Management</t>
  </si>
  <si>
    <t>1 Content Language Management</t>
  </si>
  <si>
    <t>02Async Loading Manager Assignment</t>
  </si>
  <si>
    <t>Catalog Optimizatino ph2</t>
  </si>
  <si>
    <t>8 Auto Enrollment</t>
  </si>
  <si>
    <t>11Automatic EnrollmentAutomatic Enrollment</t>
  </si>
  <si>
    <t>12Stress Tests and Rollout Manag Assign Cap100</t>
  </si>
  <si>
    <t>Hypercare Upgrade Moodle</t>
  </si>
  <si>
    <t>13Automation Localization Workflows CMS Latest Collection</t>
  </si>
  <si>
    <t>11 [TBD] Refactoring PDP</t>
  </si>
  <si>
    <t>01Refactor PDP</t>
  </si>
  <si>
    <t>Refactor PDP</t>
  </si>
  <si>
    <t>LUXO-BLUEIT-22-2-106 - Leonardo formazione 2025 H2</t>
  </si>
  <si>
    <t>14Migrazione CMS One</t>
  </si>
  <si>
    <t>10 [TDB] One CMS</t>
  </si>
  <si>
    <t>9 [TDB] Upgrade moodle</t>
  </si>
  <si>
    <t>15Moodle</t>
  </si>
  <si>
    <t>copertura buco FURCI</t>
  </si>
  <si>
    <t>Q1</t>
  </si>
  <si>
    <t>LUXO-BLUEIT-22-2-94 - Leonardo Quality 2025</t>
  </si>
  <si>
    <t>Q2</t>
  </si>
  <si>
    <t>Q3</t>
  </si>
  <si>
    <t>Q4</t>
  </si>
  <si>
    <t>H1</t>
  </si>
  <si>
    <t>LUXO-BLUEIT-22-2-91 - Leonardo - Quality 2025</t>
  </si>
  <si>
    <t>Q1 - 8gg</t>
  </si>
  <si>
    <t>LUXO-BLUEIT-22-2-100 - Leonardo Quality 2025 - Residuo</t>
  </si>
  <si>
    <t>Q2 - 0.5</t>
  </si>
  <si>
    <t>Q2 - 5gg</t>
  </si>
  <si>
    <t>Q3 - 0.5</t>
  </si>
  <si>
    <t>Q3 - 22gg</t>
  </si>
  <si>
    <t>Q4 - 11gg</t>
  </si>
  <si>
    <t>Quality Q4</t>
  </si>
  <si>
    <t>Quality H1</t>
  </si>
  <si>
    <t>99 - DevOps</t>
  </si>
  <si>
    <t>LUXO-BLUEIT-22-2-107 - Leonardo 2026</t>
  </si>
  <si>
    <t>Da inserire</t>
  </si>
  <si>
    <t>1 - NAM</t>
  </si>
  <si>
    <t>3 Coins Deprecation</t>
  </si>
  <si>
    <t>Altro - VIVA 2025</t>
  </si>
  <si>
    <t>2 - Massive Retraining</t>
  </si>
  <si>
    <t>1 - Massive Retraining</t>
  </si>
  <si>
    <t>LUXO-BLUEIT-22-2-109 - Leonardo - Fe Support 2026</t>
  </si>
  <si>
    <t>4 - Manager Assignment Estensione</t>
  </si>
  <si>
    <t>2 - Manager Assignment Estensione</t>
  </si>
  <si>
    <t>16 Coins Deprecation</t>
  </si>
  <si>
    <t>05 - W1 Log</t>
  </si>
  <si>
    <t>11 - W2 Log</t>
  </si>
  <si>
    <t>LUXO-BLUEIT-22-2-116 - Leonardo DevOps 2026</t>
  </si>
  <si>
    <t>4 - Log Activation W1</t>
  </si>
  <si>
    <t>6 - Homepage on CMS (CAE to CAAS)</t>
  </si>
  <si>
    <t>5 - Homepage on CMS (CAE to CAAS)</t>
  </si>
  <si>
    <t>7 - Program Simplification New UI</t>
  </si>
  <si>
    <t>6 - Program Simplification New UI</t>
  </si>
  <si>
    <t>09 - Rating Deprecation</t>
  </si>
  <si>
    <t>10 - Upgrade Coremedia 12 CMS ONE</t>
  </si>
  <si>
    <t>13 - Translator</t>
  </si>
  <si>
    <t>14 - User HP 1</t>
  </si>
  <si>
    <t>12 - NTYC NTYS Dismission</t>
  </si>
  <si>
    <t>15 - Virtual Coach pt1</t>
  </si>
  <si>
    <t>W2EL DevOps</t>
  </si>
  <si>
    <t>16 - Program BE</t>
  </si>
  <si>
    <t xml:space="preserve">XXX-DBA - </t>
  </si>
  <si>
    <t>Blue-Ecomm</t>
  </si>
  <si>
    <t>LUXO-BLUEIT-25-75-4</t>
  </si>
  <si>
    <t>LUXO-BLUEIT-22-2-90</t>
  </si>
  <si>
    <t>LUXO-BLUEIT-22-2-109</t>
  </si>
  <si>
    <t xml:space="preserve">REYIT26-02349  </t>
  </si>
  <si>
    <t>LUXO-BLUEIT-22-2-107</t>
  </si>
  <si>
    <t>Liquid</t>
  </si>
  <si>
    <t>LUXO-BLUEIT-22-2-122</t>
  </si>
  <si>
    <t>LUXO-BLUEIT-22-2-110</t>
  </si>
  <si>
    <t>B2C</t>
  </si>
  <si>
    <t>Recall App 2025</t>
  </si>
  <si>
    <t>Recall App 2025 - Extra</t>
  </si>
  <si>
    <t>SAP Integration</t>
  </si>
  <si>
    <t>Minoia</t>
  </si>
  <si>
    <t>1. Stima inviata</t>
  </si>
  <si>
    <t>PDF in App</t>
  </si>
  <si>
    <t>Model Stock, Completion Report &amp; Small Enhancement</t>
  </si>
  <si>
    <t>Backoffice for Power User</t>
  </si>
  <si>
    <t>Live Report</t>
  </si>
  <si>
    <t>AMS VIVA - 2026</t>
  </si>
  <si>
    <t>Android version &amp; New MDM Integration</t>
  </si>
  <si>
    <t>OSDonation Integration</t>
  </si>
  <si>
    <t>Labor Report</t>
  </si>
  <si>
    <t>LUXO-BLUEIT-25-75-3 - Recall App 2025</t>
  </si>
  <si>
    <t>LUXO-BLUEIT-25-75-4 - Recall App 2025</t>
  </si>
  <si>
    <t>LUXO-BLUEIT-25-75-5 - Recall APP - Formazione 2025</t>
  </si>
  <si>
    <t>01 - SAP Integration</t>
  </si>
  <si>
    <t>LUXO-BLUEIT-25-75-6 - Recall APP 2026</t>
  </si>
  <si>
    <t>02 - Active Excess e On Hand Negativo</t>
  </si>
  <si>
    <t>da correggere nome estensione da active excess in pdf in app</t>
  </si>
  <si>
    <t>03 - PDF in app</t>
  </si>
  <si>
    <t>da correggere nome estensione da pdf in app a modelstock, completion report</t>
  </si>
  <si>
    <t>Baseline</t>
  </si>
  <si>
    <t>LUXO-BLUEIT-25-75-8 - Recall APP 2026</t>
  </si>
  <si>
    <t>04 - Backoffice for Power User</t>
  </si>
  <si>
    <t>05 - Live Report</t>
  </si>
  <si>
    <t>LUXO-BLUEIT-25-75-12 - Recall App - Sessioni 2026</t>
  </si>
  <si>
    <t>LUXO-BLUEIT-25-75-10 - Recall App - Sessioni 2026</t>
  </si>
  <si>
    <t>LUXO-BLUEIT-25-75-9 - Recall APP - Anticipo 2026</t>
  </si>
  <si>
    <t>06 - Labor Report</t>
  </si>
  <si>
    <t>a coprire il taglio</t>
  </si>
  <si>
    <t>anticipo per eventuale nuovo taglio</t>
  </si>
  <si>
    <t>OEL - Welfare Q1 2026</t>
  </si>
  <si>
    <t>https://reply.sharepoint.com/:x:/r/sites/EL-Intranet-stimeepiani/Shared%20Documents/stime%20e%20piani/2026/INVIATE/OEL_2026_Q1.xlsx?d=wefca6ec0f8d144e8a876138d574bb3eb&amp;csf=1&amp;web=1&amp;e=Uwuwaf</t>
  </si>
  <si>
    <t>OEL - Release to be quoted</t>
  </si>
  <si>
    <t>https://reply.sharepoint.com/:x:/r/sites/EL-Intranet-stimeepiani/_layouts/15/Doc.aspx?sourcedoc=%7BB37B5954-6F19-4F45-80CD-80A0AB459342%7D&amp;file=OEL%20-%20%20Release%20To%20Be%20Quoted.xlsx&amp;action=default&amp;mobileredirect=true</t>
  </si>
  <si>
    <t>OEL - Upgrade TT</t>
  </si>
  <si>
    <t>Welfare Q1 2026</t>
  </si>
  <si>
    <t>LUXO-BLUEIT-22-11-52 - Intranet 2026</t>
  </si>
  <si>
    <t>LUXO-BLUEIT-22-11-61 - TT - Intranet 2026</t>
  </si>
  <si>
    <t>Release Q3</t>
  </si>
  <si>
    <t>LUXO-BLUEIT-22-11-57 - EL - Intranet CMS - 2026</t>
  </si>
  <si>
    <t>Codice</t>
  </si>
  <si>
    <t>Nome-Codice</t>
  </si>
  <si>
    <t>BU</t>
  </si>
  <si>
    <t>Budget</t>
  </si>
  <si>
    <t>Tipologia</t>
  </si>
  <si>
    <t>XXX-XXX-XTECH</t>
  </si>
  <si>
    <t>XTECH</t>
  </si>
  <si>
    <t>XXX-XXX-WDWP</t>
  </si>
  <si>
    <t>WDWP</t>
  </si>
  <si>
    <t>XXX-XXX-TT</t>
  </si>
  <si>
    <t>TamTamy</t>
  </si>
  <si>
    <t>XXX-DPM-ITO</t>
  </si>
  <si>
    <t>Liquid_DPM</t>
  </si>
  <si>
    <t>XXX-MCI-ITO</t>
  </si>
  <si>
    <t>Liquid_MCI</t>
  </si>
  <si>
    <t>XXX-DBA</t>
  </si>
  <si>
    <t>Leonardo 2024</t>
  </si>
  <si>
    <t>LUXO-BLUEIT-22-2-75</t>
  </si>
  <si>
    <t>CT&amp;IA</t>
  </si>
  <si>
    <t>Leonardo 2025</t>
  </si>
  <si>
    <t>AM Leonardo 2024</t>
  </si>
  <si>
    <t>LUXO-BLUEIT-22-2-78</t>
  </si>
  <si>
    <t>AM Leonardo 2025</t>
  </si>
  <si>
    <t>Leonardo 2025 - Formazione</t>
  </si>
  <si>
    <t>Leonardo 2024 - Formazione</t>
  </si>
  <si>
    <t>LUXO-BLUEIT-22-2-81</t>
  </si>
  <si>
    <t>Leonardo - Fe Support 2025</t>
  </si>
  <si>
    <t>LUXO-BLUEIT-22-2-89</t>
  </si>
  <si>
    <t>Leonardo formazione 2025</t>
  </si>
  <si>
    <t>LUXO-BLUEIT-22-2-103</t>
  </si>
  <si>
    <t>Leonardo - Fe Support 2024</t>
  </si>
  <si>
    <t>LUXO-BLUEIT-22-2-69</t>
  </si>
  <si>
    <t>Leonardo formazione 2025 H2</t>
  </si>
  <si>
    <t>LUXO-BLUEIT-22-2-106</t>
  </si>
  <si>
    <t>Leonardo - Quality 2025</t>
  </si>
  <si>
    <t>LUXO-BLUEIT-22-2-91</t>
  </si>
  <si>
    <t>Leonardo Quality 2025</t>
  </si>
  <si>
    <t>LUXO-BLUEIT-22-2-94</t>
  </si>
  <si>
    <t>Leonardo Quality 2025 - Residuo</t>
  </si>
  <si>
    <t>LUXO-BLUEIT-22-2-100</t>
  </si>
  <si>
    <t>Leonardo 2026</t>
  </si>
  <si>
    <t>Recall APP 2025</t>
  </si>
  <si>
    <t>LUXO-BLUEIT-25-75-3</t>
  </si>
  <si>
    <t>Recall APP - Formazione 2025</t>
  </si>
  <si>
    <t>LUXO-BLUEIT-25-75-5</t>
  </si>
  <si>
    <t>Intranet 2026</t>
  </si>
  <si>
    <t>LUXO-BLUEIT-22-11-52</t>
  </si>
  <si>
    <t>TT - Intranet 2026</t>
  </si>
  <si>
    <t>LUXO-BLUEIT-22-11-61</t>
  </si>
  <si>
    <t>Leonardo - Fe Support 2026</t>
  </si>
  <si>
    <t>Recall APP 2026</t>
  </si>
  <si>
    <t>LUXO-BLUEIT-25-75-6</t>
  </si>
  <si>
    <t>LUXO-BLUEIT-25-75-8</t>
  </si>
  <si>
    <t>Recall App - Sessioni 2026</t>
  </si>
  <si>
    <t>LUXO-BLUEIT-25-75-12</t>
  </si>
  <si>
    <t>LUXO-BLUEIT-25-75-10</t>
  </si>
  <si>
    <t>Leonardo DevOps 2026</t>
  </si>
  <si>
    <t>LUXO-BLUEIT-22-2-116</t>
  </si>
  <si>
    <t>DevOps</t>
  </si>
  <si>
    <t>Leonardo DevOps AM 2026</t>
  </si>
  <si>
    <t>LUXO-BLUEIT-22-2-118</t>
  </si>
  <si>
    <t>EL - Intranet CMS - 2026</t>
  </si>
  <si>
    <t>LUXO-BLUEIT-22-11-57</t>
  </si>
  <si>
    <t>DXP</t>
  </si>
  <si>
    <t>Recall APP - Anticipo 2026</t>
  </si>
  <si>
    <t>LUXO-BLUEIT-25-75-9</t>
  </si>
  <si>
    <t>Stato BL</t>
  </si>
  <si>
    <t>Stato Offerta</t>
  </si>
  <si>
    <t>Tipologia Commessa</t>
  </si>
  <si>
    <t>Stato Commessa</t>
  </si>
  <si>
    <t>Da fare</t>
  </si>
  <si>
    <t>RISERVA</t>
  </si>
  <si>
    <t>Aperta</t>
  </si>
  <si>
    <t>ANTICIPO</t>
  </si>
  <si>
    <t>Da aprire</t>
  </si>
  <si>
    <t>SERVIZIO</t>
  </si>
  <si>
    <t>Chiusa</t>
  </si>
  <si>
    <t>In attesa ordine</t>
  </si>
  <si>
    <t>PROGETTO</t>
  </si>
  <si>
    <t>id Conversation</t>
  </si>
  <si>
    <t>Id Mail</t>
  </si>
  <si>
    <t>CC Mail</t>
  </si>
  <si>
    <t>Id Activities</t>
  </si>
  <si>
    <t>Id Reply</t>
  </si>
  <si>
    <t>CC Reply</t>
  </si>
  <si>
    <t>AAQkADIxZjNmYWE2LWYyMWYtNDk2Mi05ZDUzLWI5NjkyOGRhYjc0NQAQAIXp9lkJZkzqkifG9mnSKUU=</t>
  </si>
  <si>
    <t>AAMkADIxZjNmYWE2LWYyMWYtNDk2Mi05ZDUzLWI5NjkyOGRhYjc0NQBGAAAAAABtXxU4yslUQKe1TjvSuL1eBwD0jDUQAKjpQ4hllEs7xQF9AAAAFWaTAADZpw6ZQmTUTZI4GeGUW_WuAAg735cOAAA=</t>
  </si>
  <si>
    <t>AAQkADIxZjNmYWE2LWYyMWYtNDk2Mi05ZDUzLWI5NjkyOGRhYjc0NQAQAOyXLtE-EkOMhpnyVUR3hA8=</t>
  </si>
  <si>
    <t>AAMkADIxZjNmYWE2LWYyMWYtNDk2Mi05ZDUzLWI5NjkyOGRhYjc0NQBGAAAAAABtXxU4yslUQKe1TjvSuL1eBwD0jDUQAKjpQ4hllEs7xQF9AAAAFWaTAADZpw6ZQmTUTZI4GeGUW_WuAAg735cRAAA=</t>
  </si>
  <si>
    <t>AAQkADIxZjNmYWE2LWYyMWYtNDk2Mi05ZDUzLWI5NjkyOGRhYjc0NQAQAKCR5gp0t0c9tJ0SMGd_Uo4=</t>
  </si>
  <si>
    <t>AAMkADIxZjNmYWE2LWYyMWYtNDk2Mi05ZDUzLWI5NjkyOGRhYjc0NQBGAAAAAABtXxU4yslUQKe1TjvSuL1eBwD0jDUQAKjpQ4hllEs7xQF9AAAAFWaTAADZpw6ZQmTUTZI4GeGUW_WuAAg735c0AAA=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</si>
</sst>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-2]\ * #,##0.00_);_([$€-2]\ * \(#,##0.00\);_([$€-2]\ * &quot;-&quot;??_);_(@_)"/>
  </numFmts>
  <fonts count="14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sz val="11"/>
      <color rgb="FF242424"/>
      <name val="Aptos Narrow"/>
      <charset val="1"/>
    </font>
    <font>
      <sz val="11"/>
      <color rgb="FF000000"/>
      <name val="Calibri"/>
      <family val="2"/>
      <scheme val="minor"/>
    </font>
    <font>
      <strike/>
      <sz val="11"/>
      <color theme="1"/>
      <name val="Calibri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Aptos Narrow"/>
      <family val="2"/>
    </font>
    <font>
      <sz val="11"/>
      <color theme="1"/>
      <name val="Aptos"/>
      <family val="2"/>
      <charset val="1"/>
    </font>
    <font>
      <sz val="11"/>
      <color rgb="FF000000"/>
      <name val="Calibri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145F82"/>
        <bgColor rgb="FF145F82"/>
      </patternFill>
    </fill>
    <fill>
      <patternFill patternType="solid">
        <fgColor theme="4" tint="0.79998168889431442"/>
        <bgColor theme="4" tint="0.79998168889431442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CCCCCC"/>
      </left>
      <right style="thin">
        <color rgb="FF000000"/>
      </right>
      <top/>
      <bottom style="thin">
        <color rgb="FF000000"/>
      </bottom>
      <diagonal/>
    </border>
    <border>
      <left style="thin">
        <color rgb="FF43AEE2"/>
      </left>
      <right/>
      <top style="thin">
        <color rgb="FF43AEE2"/>
      </top>
      <bottom style="thin">
        <color rgb="FF43AEE2"/>
      </bottom>
      <diagonal/>
    </border>
    <border>
      <left/>
      <right/>
      <top style="thin">
        <color rgb="FF43AEE2"/>
      </top>
      <bottom style="thin">
        <color rgb="FF43AEE2"/>
      </bottom>
      <diagonal/>
    </border>
    <border>
      <left/>
      <right style="thin">
        <color rgb="FF43AEE2"/>
      </right>
      <top style="thin">
        <color rgb="FF43AEE2"/>
      </top>
      <bottom style="thin">
        <color rgb="FF43AEE2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/>
      <diagonal/>
    </border>
  </borders>
  <cellStyleXfs count="3">
    <xf numFmtId="0" fontId="0" fillId="0" borderId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</cellStyleXfs>
  <cellXfs count="64">
    <xf numFmtId="0" fontId="0" fillId="0" borderId="0" xfId="0"/>
    <xf numFmtId="0" fontId="1" fillId="2" borderId="1" xfId="0" applyFont="1" applyFill="1" applyBorder="1" applyAlignment="1">
      <alignment horizontal="left" readingOrder="1"/>
    </xf>
    <xf numFmtId="0" fontId="1" fillId="2" borderId="2" xfId="0" applyFont="1" applyFill="1" applyBorder="1" applyAlignment="1">
      <alignment horizontal="left" vertical="center" readingOrder="1"/>
    </xf>
    <xf numFmtId="0" fontId="2" fillId="2" borderId="3" xfId="0" applyFont="1" applyFill="1" applyBorder="1" applyAlignment="1">
      <alignment horizontal="left" vertical="center" readingOrder="1"/>
    </xf>
    <xf numFmtId="164" fontId="2" fillId="2" borderId="3" xfId="0" applyNumberFormat="1" applyFont="1" applyFill="1" applyBorder="1" applyAlignment="1">
      <alignment horizontal="left" readingOrder="1"/>
    </xf>
    <xf numFmtId="9" fontId="2" fillId="2" borderId="3" xfId="0" applyNumberFormat="1" applyFont="1" applyFill="1" applyBorder="1" applyAlignment="1">
      <alignment horizontal="left" readingOrder="1"/>
    </xf>
    <xf numFmtId="0" fontId="2" fillId="2" borderId="3" xfId="0" applyFont="1" applyFill="1" applyBorder="1" applyAlignment="1">
      <alignment horizontal="left" readingOrder="1"/>
    </xf>
    <xf numFmtId="0" fontId="3" fillId="2" borderId="0" xfId="0" applyFont="1" applyFill="1" applyAlignment="1">
      <alignment horizontal="left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9" fontId="0" fillId="0" borderId="0" xfId="0" applyNumberFormat="1" applyAlignment="1">
      <alignment horizontal="left"/>
    </xf>
    <xf numFmtId="0" fontId="4" fillId="0" borderId="0" xfId="1" applyFont="1" applyAlignment="1">
      <alignment horizontal="left"/>
    </xf>
    <xf numFmtId="0" fontId="0" fillId="0" borderId="0" xfId="0" applyAlignment="1">
      <alignment horizontal="left" wrapText="1"/>
    </xf>
    <xf numFmtId="17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  <xf numFmtId="0" fontId="4" fillId="0" borderId="0" xfId="1" applyFont="1" applyFill="1" applyAlignment="1">
      <alignment horizontal="left"/>
    </xf>
    <xf numFmtId="164" fontId="0" fillId="3" borderId="0" xfId="0" applyNumberFormat="1" applyFill="1" applyAlignment="1">
      <alignment horizontal="left"/>
    </xf>
    <xf numFmtId="0" fontId="4" fillId="0" borderId="0" xfId="1" applyFont="1"/>
    <xf numFmtId="164" fontId="0" fillId="4" borderId="0" xfId="0" applyNumberFormat="1" applyFill="1" applyAlignment="1">
      <alignment horizontal="left"/>
    </xf>
    <xf numFmtId="0" fontId="5" fillId="0" borderId="0" xfId="1" applyFont="1" applyAlignment="1">
      <alignment horizontal="left"/>
    </xf>
    <xf numFmtId="17" fontId="0" fillId="0" borderId="0" xfId="0" applyNumberFormat="1" applyAlignment="1">
      <alignment horizontal="left"/>
    </xf>
    <xf numFmtId="0" fontId="6" fillId="0" borderId="0" xfId="0" applyFont="1"/>
    <xf numFmtId="0" fontId="0" fillId="0" borderId="0" xfId="0" applyAlignment="1">
      <alignment horizontal="left" vertical="center" wrapText="1"/>
    </xf>
    <xf numFmtId="164" fontId="0" fillId="5" borderId="0" xfId="0" applyNumberFormat="1" applyFill="1" applyAlignment="1">
      <alignment horizontal="left"/>
    </xf>
    <xf numFmtId="164" fontId="0" fillId="6" borderId="0" xfId="0" applyNumberFormat="1" applyFill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 vertical="top" wrapText="1"/>
    </xf>
    <xf numFmtId="0" fontId="1" fillId="2" borderId="1" xfId="0" applyFont="1" applyFill="1" applyBorder="1" applyAlignment="1">
      <alignment horizontal="left" wrapText="1" readingOrder="1"/>
    </xf>
    <xf numFmtId="0" fontId="0" fillId="0" borderId="0" xfId="0" applyAlignment="1">
      <alignment wrapText="1"/>
    </xf>
    <xf numFmtId="0" fontId="7" fillId="0" borderId="0" xfId="0" applyFont="1" applyAlignment="1">
      <alignment horizontal="left"/>
    </xf>
    <xf numFmtId="0" fontId="0" fillId="0" borderId="0" xfId="0" applyAlignment="1">
      <alignment horizontal="left" vertical="top"/>
    </xf>
    <xf numFmtId="0" fontId="9" fillId="0" borderId="0" xfId="1"/>
    <xf numFmtId="164" fontId="0" fillId="0" borderId="0" xfId="0" applyNumberFormat="1"/>
    <xf numFmtId="0" fontId="1" fillId="2" borderId="4" xfId="0" applyFont="1" applyFill="1" applyBorder="1" applyAlignment="1">
      <alignment horizontal="left" readingOrder="1"/>
    </xf>
    <xf numFmtId="0" fontId="10" fillId="0" borderId="0" xfId="0" applyFont="1"/>
    <xf numFmtId="0" fontId="1" fillId="2" borderId="0" xfId="0" applyFont="1" applyFill="1" applyAlignment="1">
      <alignment horizontal="left" readingOrder="1"/>
    </xf>
    <xf numFmtId="0" fontId="2" fillId="2" borderId="5" xfId="0" applyFont="1" applyFill="1" applyBorder="1" applyAlignment="1">
      <alignment horizontal="left" vertical="center" readingOrder="1"/>
    </xf>
    <xf numFmtId="164" fontId="4" fillId="0" borderId="0" xfId="1" applyNumberFormat="1" applyFont="1" applyAlignment="1">
      <alignment horizontal="left"/>
    </xf>
    <xf numFmtId="0" fontId="2" fillId="2" borderId="6" xfId="0" applyFont="1" applyFill="1" applyBorder="1" applyAlignment="1">
      <alignment horizontal="left" vertical="center" readingOrder="1"/>
    </xf>
    <xf numFmtId="164" fontId="2" fillId="2" borderId="6" xfId="0" applyNumberFormat="1" applyFont="1" applyFill="1" applyBorder="1" applyAlignment="1">
      <alignment horizontal="left" readingOrder="1"/>
    </xf>
    <xf numFmtId="0" fontId="11" fillId="7" borderId="7" xfId="0" applyFont="1" applyFill="1" applyBorder="1"/>
    <xf numFmtId="0" fontId="11" fillId="7" borderId="8" xfId="0" applyFont="1" applyFill="1" applyBorder="1"/>
    <xf numFmtId="0" fontId="11" fillId="7" borderId="9" xfId="0" applyFont="1" applyFill="1" applyBorder="1"/>
    <xf numFmtId="0" fontId="9" fillId="0" borderId="0" xfId="1" applyAlignment="1">
      <alignment horizontal="left"/>
    </xf>
    <xf numFmtId="17" fontId="7" fillId="0" borderId="0" xfId="0" applyNumberFormat="1" applyFont="1" applyAlignment="1">
      <alignment horizontal="left"/>
    </xf>
    <xf numFmtId="0" fontId="9" fillId="0" borderId="0" xfId="2" applyAlignment="1">
      <alignment horizontal="left"/>
    </xf>
    <xf numFmtId="164" fontId="0" fillId="0" borderId="0" xfId="0" applyNumberFormat="1" applyAlignment="1">
      <alignment horizontal="left" wrapText="1"/>
    </xf>
    <xf numFmtId="16" fontId="0" fillId="0" borderId="0" xfId="0" applyNumberFormat="1" applyAlignment="1">
      <alignment horizontal="left" vertical="center"/>
    </xf>
    <xf numFmtId="0" fontId="0" fillId="8" borderId="10" xfId="0" applyFill="1" applyBorder="1"/>
    <xf numFmtId="164" fontId="0" fillId="8" borderId="11" xfId="0" applyNumberFormat="1" applyFill="1" applyBorder="1"/>
    <xf numFmtId="0" fontId="0" fillId="0" borderId="10" xfId="0" applyBorder="1"/>
    <xf numFmtId="164" fontId="0" fillId="0" borderId="11" xfId="0" applyNumberFormat="1" applyBorder="1"/>
    <xf numFmtId="0" fontId="12" fillId="0" borderId="0" xfId="0" applyFont="1"/>
    <xf numFmtId="0" fontId="0" fillId="0" borderId="1" xfId="0" applyBorder="1"/>
    <xf numFmtId="164" fontId="0" fillId="0" borderId="1" xfId="0" applyNumberFormat="1" applyBorder="1"/>
    <xf numFmtId="0" fontId="12" fillId="0" borderId="1" xfId="0" applyFont="1" applyBorder="1"/>
    <xf numFmtId="0" fontId="6" fillId="0" borderId="1" xfId="0" applyFont="1" applyBorder="1"/>
    <xf numFmtId="0" fontId="3" fillId="0" borderId="12" xfId="0" applyFont="1" applyBorder="1"/>
    <xf numFmtId="0" fontId="3" fillId="0" borderId="13" xfId="0" applyFont="1" applyBorder="1"/>
    <xf numFmtId="0" fontId="3" fillId="0" borderId="0" xfId="0" applyFont="1"/>
    <xf numFmtId="0" fontId="13" fillId="0" borderId="0" xfId="0" applyFont="1"/>
    <xf numFmtId="0" fontId="0" fillId="4" borderId="0" xfId="0" applyFill="1" applyAlignment="1">
      <alignment horizontal="left"/>
    </xf>
    <xf numFmtId="0" fontId="0" fillId="4" borderId="0" xfId="0" applyFill="1" applyAlignment="1">
      <alignment horizontal="left" vertical="top" wrapText="1"/>
    </xf>
    <xf numFmtId="0" fontId="0" fillId="4" borderId="0" xfId="0" applyFill="1" applyAlignment="1">
      <alignment wrapText="1"/>
    </xf>
  </cellXfs>
  <cellStyles count="3">
    <cellStyle name="Collegamento ipertestuale" xfId="1" builtinId="8"/>
    <cellStyle name="Hyperlink" xfId="2" xr:uid="{00000000-000B-0000-0000-000008000000}"/>
    <cellStyle name="Normale" xfId="0" builtinId="0"/>
  </cellStyles>
  <dxfs count="17">
    <dxf>
      <border outline="0">
        <bottom style="thin">
          <color rgb="FF43AEE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none"/>
      </font>
      <fill>
        <patternFill patternType="solid">
          <fgColor rgb="FF145F82"/>
          <bgColor rgb="FF145F82"/>
        </patternFill>
      </fill>
      <alignment horizontal="general" vertical="bottom" textRotation="0" wrapText="0" indent="0" justifyLastLine="0" shrinkToFit="0" readingOrder="0"/>
    </dxf>
    <dxf>
      <numFmt numFmtId="164" formatCode="_([$€-2]\ * #,##0.00_);_([$€-2]\ * \(#,##0.00\);_([$€-2]\ * &quot;-&quot;??_);_(@_)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1"/>
    </dxf>
    <dxf>
      <numFmt numFmtId="164" formatCode="_([$€-2]\ * #,##0.00_);_([$€-2]\ * \(#,##0.00\);_([$€-2]\ * &quot;-&quot;??_);_(@_)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1"/>
    </dxf>
    <dxf>
      <numFmt numFmtId="164" formatCode="_([$€-2]\ * #,##0.00_);_([$€-2]\ * \(#,##0.00\);_([$€-2]\ * &quot;-&quot;??_);_(@_)"/>
    </dxf>
    <dxf>
      <numFmt numFmtId="164" formatCode="_([$€-2]\ * #,##0.00_);_([$€-2]\ * \(#,##0.00\);_([$€-2]\ * &quot;-&quot;??_);_(@_)"/>
    </dxf>
    <dxf>
      <numFmt numFmtId="164" formatCode="_([$€-2]\ * #,##0.00_);_([$€-2]\ * \(#,##0.00\);_([$€-2]\ * &quot;-&quot;??_);_(@_)"/>
    </dxf>
    <dxf>
      <numFmt numFmtId="164" formatCode="_([$€-2]\ * #,##0.00_);_([$€-2]\ * \(#,##0.00\);_([$€-2]\ * &quot;-&quot;??_);_(@_)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1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EE33CDB-183D-442F-A0B1-D933D74DBF13}" name="Tabella1" displayName="Tabella1" ref="A1:J74" totalsRowShown="0" headerRowDxfId="16" headerRowBorderDxfId="14" tableBorderDxfId="15">
  <autoFilter ref="A1:J74" xr:uid="{EEE33CDB-183D-442F-A0B1-D933D74DBF13}"/>
  <tableColumns count="10">
    <tableColumn id="1" xr3:uid="{0676559D-ABCD-41D3-A046-CB44F392EC87}" name="ID"/>
    <tableColumn id="2" xr3:uid="{1D86C887-7258-4A06-B75A-1534D7BE8B81}" name="Nome"/>
    <tableColumn id="9" xr3:uid="{9CB79399-330E-4EFC-B68E-E2BA0AE63874}" name="Progetto"/>
    <tableColumn id="10" xr3:uid="{D0C2B8A6-8352-4F9F-93FD-2CA3F37FDBE9}" name="Anno"/>
    <tableColumn id="3" xr3:uid="{8077F827-BB11-4782-812B-C10787AAB4F5}" name="Stato"/>
    <tableColumn id="4" xr3:uid="{4F584EF4-2874-49D2-A4AC-E237821582F8}" name="REY"/>
    <tableColumn id="5" xr3:uid="{FF56C10A-C406-47E7-8DC4-127C84A04FAC}" name="Importo finale" dataDxfId="13">
      <calculatedColumnFormula array="1">SUMPRODUCT(('Budget Lines - Leonardo'!$F$2:$F$1526=Offers!B2)*('Budget Lines - Leonardo'!$G$2:$G$1526))</calculatedColumnFormula>
    </tableColumn>
    <tableColumn id="6" xr3:uid="{C9F72C5A-8080-45DC-B1DE-30A6E8E0F411}" name="Importo in offerta" dataDxfId="12"/>
    <tableColumn id="7" xr3:uid="{D55050F4-DC79-4C67-87F9-17D8A2645CB4}" name="Sconto" dataDxfId="11">
      <calculatedColumnFormula>Tabella1[[#This Row],[Importo in offerta]]-Tabella1[[#This Row],[Importo finale]]</calculatedColumnFormula>
    </tableColumn>
    <tableColumn id="8" xr3:uid="{50066686-196E-4487-9C64-41B955DA9CA7}" name="Prepara Offerta" dataDxfId="1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2DA0A2D-10E7-49F0-8F2F-7B4F2466072B}" name="Tabella3" displayName="Tabella3" ref="A1:I186" totalsRowShown="0" headerRowDxfId="9" headerRowBorderDxfId="7" tableBorderDxfId="8">
  <autoFilter ref="A1:I186" xr:uid="{D1C89E70-7C19-48FB-89A4-1742CDC1BBC2}">
    <filterColumn colId="4">
      <filters>
        <filter val="LUXO-BLUEIT-22-2-107 - Leonardo 2026"/>
      </filters>
    </filterColumn>
  </autoFilter>
  <tableColumns count="9">
    <tableColumn id="1" xr3:uid="{BE34B668-EEB0-4FEA-BB51-AB251C508FC5}" name="ID"/>
    <tableColumn id="2" xr3:uid="{B4C2B500-0FB1-4042-9387-94CF7DC487DC}" name="Nome"/>
    <tableColumn id="3" xr3:uid="{651B2013-AE15-4277-BD35-5B300C346304}" name="Activities"/>
    <tableColumn id="4" xr3:uid="{BB91A1AF-79C9-491A-9F06-4E52F138A73E}" name="Stato"/>
    <tableColumn id="5" xr3:uid="{F3120DA2-671A-4B43-8402-A166B5D609EB}" name="Commessa"/>
    <tableColumn id="6" xr3:uid="{46105574-0449-475A-9EDF-CDBA249FD1E3}" name="Offers"/>
    <tableColumn id="7" xr3:uid="{CF2EC661-5963-4BCB-85D9-B539EB59902A}" name="Importo" dataDxfId="6"/>
    <tableColumn id="8" xr3:uid="{B80CB110-A381-4FF0-BC0A-E49FD23A3B87}" name="Colonna1"/>
    <tableColumn id="9" xr3:uid="{7CE34922-2967-462A-AF69-17730D749227}" name="Colonna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2A76D83-5437-4226-B928-68C89C56FC5F}" name="Tabella2" displayName="Tabella2" ref="A1:K35" totalsRowShown="0" headerRowDxfId="5" headerRowBorderDxfId="3" tableBorderDxfId="4">
  <autoFilter ref="A1:K35" xr:uid="{82A76D83-5437-4226-B928-68C89C56FC5F}"/>
  <tableColumns count="11">
    <tableColumn id="1" xr3:uid="{6502F7BF-A16E-4F4E-9B30-67B585EBAA3E}" name="ID"/>
    <tableColumn id="11" xr3:uid="{7A0CAB07-9984-4E06-9B71-94DAD5EC4AD0}" name="Anno"/>
    <tableColumn id="2" xr3:uid="{F9FFDB6C-2370-43E0-A0BF-B5D77902627E}" name="Nome"/>
    <tableColumn id="3" xr3:uid="{EAA503AA-408E-4383-B58E-A59CF3EC0AFA}" name="Codice"/>
    <tableColumn id="4" xr3:uid="{F6DBE165-E372-4C31-96B6-F91A3AB4BBAF}" name="Nome-Codice">
      <calculatedColumnFormula>_xlfn.CONCAT(D2," - ",C2)</calculatedColumnFormula>
    </tableColumn>
    <tableColumn id="10" xr3:uid="{59E4C134-3CBD-4399-A2BA-6F96E17C4681}" name="Progetto"/>
    <tableColumn id="5" xr3:uid="{9065552F-1697-4B80-87B4-967B434F89DD}" name="BU"/>
    <tableColumn id="8" xr3:uid="{AFFA3CB3-D61D-4049-9B23-7B3DD7DC992A}" name="Budget" dataDxfId="2">
      <calculatedColumnFormula array="1">SUMPRODUCT(('Budget Lines - Leonardo'!$E$2:$E$1526=Tabella2[[#This Row],[Nome-Codice]])*('Budget Lines - Leonardo'!$G$2:$G$1526))</calculatedColumnFormula>
    </tableColumn>
    <tableColumn id="6" xr3:uid="{D659F6C5-BEAD-4A64-87E9-24382E8BA70B}" name="Tipologia"/>
    <tableColumn id="9" xr3:uid="{C365C760-F34A-4B8A-917B-DFCE2A6DCE88}" name="Stato"/>
    <tableColumn id="7" xr3:uid="{4336A7B2-7064-40CD-A5E2-AD1406E35506}" name="Colonna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5D040D7-EA3C-440B-8673-CAEC39D7F036}" name="Mail" displayName="Mail" ref="A1:F4" totalsRowShown="0" headerRowDxfId="1" headerRowBorderDxfId="0">
  <autoFilter ref="A1:F4" xr:uid="{C5D040D7-EA3C-440B-8673-CAEC39D7F036}"/>
  <tableColumns count="6">
    <tableColumn id="1" xr3:uid="{1D526B24-B657-4C83-AC48-D0050805F497}" name="id Conversation"/>
    <tableColumn id="2" xr3:uid="{F61C2B7D-9FF8-4BFA-AA77-DB2A296CEAB8}" name="Id Mail"/>
    <tableColumn id="3" xr3:uid="{90D9F63A-1CEA-44D0-848F-85D092F995A8}" name="CC Mail"/>
    <tableColumn id="4" xr3:uid="{AB104A38-2B77-43D0-9B80-EEDE2E161FAA}" name="Id Activities"/>
    <tableColumn id="5" xr3:uid="{C9154798-A62C-453C-8152-47BD2B98E4A8}" name="Id Reply"/>
    <tableColumn id="6" xr3:uid="{BABD0ABE-DA7F-4285-AF1D-C5C13D201F73}" name="CC Repl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reply.sharepoint.com/:x:/r/sites/University-stimeepiani/Shared%20Documents/stime%20e%20piani/IN%20STIMA/ELL-4208%20-%20Leonardo%20-%20Audit%2024%20-%20Data%20Anonimization.xlsx?d=we9f30271499d4b0c9b86d0ac3373ac8b&amp;csf=1&amp;web=1&amp;e=4NEavf" TargetMode="External"/><Relationship Id="rId18" Type="http://schemas.openxmlformats.org/officeDocument/2006/relationships/hyperlink" Target="https://reply.sharepoint.com/:x:/r/sites/University-stimeepiani/_layouts/15/Doc.aspx?sourcedoc=%7B1936F972-96D1-477C-8E9D-A3D5E4C93F60%7D&amp;file=Leonardo%20template.xlsx&amp;action=default&amp;mobileredirect=true&amp;wdsle=0" TargetMode="External"/><Relationship Id="rId26" Type="http://schemas.openxmlformats.org/officeDocument/2006/relationships/hyperlink" Target="https://reply.sharepoint.com/:x:/r/sites/University-stimeepiani/Shared%20Documents/stime%20e%20piani/IN%20STIMA/Leonardo%20-%20CR%20PACK%20CMS%20-%20LEON-10086.xlsx?d=wb6825aac2c604e31b560d5dedf8069f2&amp;csf=1&amp;web=1&amp;e=Ktvtzd" TargetMode="External"/><Relationship Id="rId39" Type="http://schemas.openxmlformats.org/officeDocument/2006/relationships/hyperlink" Target="https://reply.sharepoint.com/:x:/r/sites/University-stimeepiani/Shared%20Documents/stime%20e%20piani/IN%20STIMA/ELL-3225%20-%20HP%20on%20CMS%20Optimize%20v2.xlsx?d=w4f1a928eaf5b45038885302fb9c8a0b0&amp;csf=1&amp;web=1&amp;e=lL5FA4" TargetMode="External"/><Relationship Id="rId21" Type="http://schemas.openxmlformats.org/officeDocument/2006/relationships/hyperlink" Target="https://reply.sharepoint.com/:x:/r/sites/University-stimeepiani/Shared%20Documents/stime%20e%20piani/IN%20STIMA/ELL-3757%20-%20Leonardo%20-%20Rimodulazione%20architettura%20BFF.xlsx?d=w57ecd37669794a6889c230e457b4c992&amp;csf=1&amp;web=1&amp;e=uUHLh1" TargetMode="External"/><Relationship Id="rId34" Type="http://schemas.openxmlformats.org/officeDocument/2006/relationships/hyperlink" Target="https://reply.sharepoint.com/:x:/r/sites/University-stimeepiani/Shared%20Documents/stime%20e%20piani/IN%20STIMA/ELL-4912%20-%20Leonardo%20-%20NAM%20Integration.xlsx?d=w7c97f7bdbe8b44d7b4c1a2c399ab03aa&amp;csf=1&amp;web=1&amp;e=V0nWWy" TargetMode="External"/><Relationship Id="rId42" Type="http://schemas.openxmlformats.org/officeDocument/2006/relationships/hyperlink" Target="https://reply.sharepoint.com/:x:/r/sites/University-stimeepiani/Shared%20Documents/stime%20e%20piani/IN%20STIMA/Leonardo%20-%20Upgrade%20CMS%20ONE%20Coremedia%2012.xlsx?d=w023627412d5e41d4abac382b0ef87d68&amp;csf=1&amp;web=1&amp;e=ULlqaV" TargetMode="External"/><Relationship Id="rId47" Type="http://schemas.openxmlformats.org/officeDocument/2006/relationships/hyperlink" Target="https://reply.sharepoint.com/:x:/r/sites/University-stimeepiani/Shared%20Documents/stime%20e%20piani/IN%20STIMA/ELL-5341%20-%20Leonardo%20-%20New%20Homepage%20UI%20part%201.xlsx?d=w7a55a57271c14270b390882ad5b86dcf&amp;csf=1&amp;web=1&amp;e=zan6FL" TargetMode="External"/><Relationship Id="rId50" Type="http://schemas.openxmlformats.org/officeDocument/2006/relationships/hyperlink" Target="../../../../:x:/r/sites/University-stimeepiani/Shared%20Documents/stime%20e%20piani/IN%20STIMA/Leonardo%20-%20COIN%20Deprecation.xlsx?d=wa1432a63428c4d61b69aa89e38efef47&amp;csf=1&amp;web=1&amp;e=6dh914" TargetMode="External"/><Relationship Id="rId7" Type="http://schemas.openxmlformats.org/officeDocument/2006/relationships/hyperlink" Target="https://reply.sharepoint.com/:x:/r/sites/University-stimeepiani/_layouts/15/Doc2.aspx?action=edit&amp;sourcedoc=%7Bd61bf720-526c-47ff-a425-806446bfc7c3%7D&amp;wdOrigin=TEAMS-MAGLEV.teamsSdk_ns.rwc&amp;wdExp=TEAMS-TREATMENT&amp;wdhostclicktime=1732529183444&amp;web=1" TargetMode="External"/><Relationship Id="rId2" Type="http://schemas.openxmlformats.org/officeDocument/2006/relationships/hyperlink" Target="https://reply.sharepoint.com/:x:/r/sites/University-stimeepiani/_layouts/15/Doc.aspx?sourcedoc=%7B16BF94AF-CE1B-4CA9-B616-06DE393A745E%7D&amp;file=ELL-3813%20Leonardo%20-%20Test%20nuovi%20ambienti.xlsx&amp;action=default&amp;mobileredirect=true" TargetMode="External"/><Relationship Id="rId16" Type="http://schemas.openxmlformats.org/officeDocument/2006/relationships/hyperlink" Target="https://reply.sharepoint.com/:x:/r/sites/University-stimeepiani/Shared%20Documents/stime%20e%20piani/IN%20STIMA/ELL-3681%20-%20Leonardo%20-%20OB%20Semplification_v2.xlsx?d=wfdd5e3c16de84120a3e337f20899d9d9&amp;csf=1&amp;web=1&amp;e=fom9OZ" TargetMode="External"/><Relationship Id="rId29" Type="http://schemas.openxmlformats.org/officeDocument/2006/relationships/hyperlink" Target="https://reply.sharepoint.com/:x:/r/sites/University-stimeepiani/_layouts/15/Doc2.aspx?action=edit&amp;sourcedoc=%7Bcee75ede-27c1-464e-b15b-8f9d9a1bc9a3%7D&amp;wdOrigin=TEAMS-MAGLEV.teamsSdk_ns.rwc&amp;wdExp=TEAMS-TREATMENT&amp;wdhostclicktime=1743160304913&amp;web=1" TargetMode="External"/><Relationship Id="rId11" Type="http://schemas.openxmlformats.org/officeDocument/2006/relationships/hyperlink" Target="https://reply.sharepoint.com/:x:/r/sites/University-stimeepiani/Shared%20Documents/stime%20e%20piani/IN%20STIMA/ELL-3950%20-%20Leonardo%20-%20Teams%20Vimeo.xlsx?d=w6626a07caf4a4469a31091109277337d&amp;csf=1&amp;web=1&amp;e=rM2JhS" TargetMode="External"/><Relationship Id="rId24" Type="http://schemas.openxmlformats.org/officeDocument/2006/relationships/hyperlink" Target="https://reply.sharepoint.com/:x:/r/sites/University-stimeepiani/_layouts/15/Doc2.aspx?action=edit&amp;sourcedoc=%7B04620e5a-ee7e-4e8b-abce-06ae10e09ecc%7D&amp;wdOrigin=TEAMS-MAGLEV.teamsSdk_ns.rwc&amp;wdExp=TEAMS-TREATMENT&amp;wdhostclicktime=1741714743184&amp;web=1&amp;ovuser=b00367e2-193a-4f48-94de-7245d45c0947%2Cm.verzeletti%40reply.it&amp;clickparams=eyJBcHBOYW1lIjoiVGVhbXMtRGVza3RvcCIsIkFwcFZlcnNpb24iOiI1MC8yNTAyMTQwMDkxMiIsIkhhc0ZlZGVyYXRlZFVzZXIiOmZhbHNlfQ%3D%3D" TargetMode="External"/><Relationship Id="rId32" Type="http://schemas.openxmlformats.org/officeDocument/2006/relationships/hyperlink" Target="https://reply.sharepoint.com/:x:/r/sites/University-stimeepiani/Shared%20Documents/stime%20e%20piani/IN%20STIMA/C560360L%20-%20flusso%20di%20traduzione%20Moodboard.xlsx?d=w93cd64a820e1487284151d9a4106e678&amp;csf=1&amp;web=1&amp;e=8dzoNh" TargetMode="External"/><Relationship Id="rId37" Type="http://schemas.openxmlformats.org/officeDocument/2006/relationships/hyperlink" Target="https://reply.sharepoint.com/:x:/r/sites/University-stimeepiani/Shared%20Documents/stime%20e%20piani/IN%20STIMA/ELL-4998%20-%20Leonardo%20-%20LOG%20Activation.xlsx?d=wc28b827745dd4014b9c3a1ab1ad906e2&amp;csf=1&amp;web=1&amp;e=dqLmCg" TargetMode="External"/><Relationship Id="rId40" Type="http://schemas.openxmlformats.org/officeDocument/2006/relationships/hyperlink" Target="https://reply.sharepoint.com/:x:/r/sites/University-stimeepiani/Shared%20Documents/stime%20e%20piani/IN%20STIMA/ELL-4880%20-%20Leonardo%20-%20Program%20Simplification.xlsx?d=w339c456406cb4ba087b15df9f8fe348d&amp;csf=1&amp;web=1&amp;e=uTxPVo" TargetMode="External"/><Relationship Id="rId45" Type="http://schemas.openxmlformats.org/officeDocument/2006/relationships/hyperlink" Target="https://reply.sharepoint.com/:x:/r/sites/University-stimeepiani/_layouts/15/Doc2.aspx?action=edit&amp;sourcedoc=%7Bef21710c-f025-44b9-a0e3-e9073697f116%7D&amp;wdOrigin=TEAMS-MAGLEV.teamsSdk_ns.rwc&amp;wdExp=TEAMS-TREATMENT&amp;wdhostclicktime=1772446599026&amp;web=1" TargetMode="External"/><Relationship Id="rId5" Type="http://schemas.openxmlformats.org/officeDocument/2006/relationships/hyperlink" Target="https://reply.sharepoint.com/:x:/r/sites/University-stimeepiani/_layouts/15/Doc2.aspx?action=edit&amp;sourcedoc=%7B75f8fafa-67eb-4f5c-b2fd-7df03b5fd4cd%7D&amp;wdOrigin=TEAMS-MAGLEV.teamsSdk_ns.rwc&amp;wdExp=TEAMS-TREATMENT&amp;wdhostclicktime=1729245012865&amp;web=1" TargetMode="External"/><Relationship Id="rId15" Type="http://schemas.openxmlformats.org/officeDocument/2006/relationships/hyperlink" Target="https://reply.sharepoint.com/:x:/r/sites/University-stimeepiani/Shared%20Documents/stime%20e%20piani/IN%20STIMA/ELL-4401%20-%20Leonardo%20CMS%20Expert%20Module.xlsx?d=wdf0e2678e96e41cba083ad1de2da3dcf&amp;csf=1&amp;web=1&amp;e=2Rf8UC" TargetMode="External"/><Relationship Id="rId23" Type="http://schemas.openxmlformats.org/officeDocument/2006/relationships/hyperlink" Target="https://reply.sharepoint.com/:x:/r/sites/University-stimeepiani/_layouts/15/Doc2.aspx?action=edit&amp;sourcedoc=%7B8ab7003c-b42e-4054-a7b9-bf9159d9ea4b%7D&amp;wdOrigin=TEAMS-MAGLEV.teamsSdk_ns.rwc&amp;wdExp=TEAMS-TREATMENT&amp;wdhostclicktime=1736873121548&amp;web=1&amp;clickparams=eyJBcHBOYW1lIjoiVGVhbXMtRGVza3RvcCIsIkFwcFZlcnNpb24iOiI1MC8yNDEyMDEwMDIxMyJ9" TargetMode="External"/><Relationship Id="rId28" Type="http://schemas.openxmlformats.org/officeDocument/2006/relationships/hyperlink" Target="https://reply.sharepoint.com/:x:/r/sites/University-stimeepiani/_layouts/15/Doc2.aspx?action=edit&amp;sourcedoc=%7Bec12c297-6780-4e58-8587-9fee084c59f3%7D&amp;wdOrigin=TEAMS-MAGLEV.teamsSdk_ns.rwc&amp;wdExp=TEAMS-TREATMENT&amp;wdhostclicktime=1743160307271&amp;web=1" TargetMode="External"/><Relationship Id="rId36" Type="http://schemas.openxmlformats.org/officeDocument/2006/relationships/hyperlink" Target="https://reply.sharepoint.com/:x:/r/sites/University-stimeepiani/_layouts/15/Doc.aspx?sourcedoc=%7B596137fe-e994-4520-9601-8afa8ce3e631%7D&amp;action=edit&amp;wdPreviousSession=631f9d00-6c43-dfe8-938f-a26e1b59ee21" TargetMode="External"/><Relationship Id="rId49" Type="http://schemas.openxmlformats.org/officeDocument/2006/relationships/hyperlink" Target="../../../../:x:/r/sites/University-stimeepiani/_layouts/15/Doc2.aspx?action=edit&amp;sourcedoc=%7Bf9831ac4-b912-43b0-9f4a-edeef8c38c0f%7D&amp;wdOrigin=TEAMS-MAGLEV.teamsSdk_ns.rwc&amp;wdExp=TEAMS-TREATMENT&amp;wdhostclicktime=1765808237875&amp;web=1" TargetMode="External"/><Relationship Id="rId10" Type="http://schemas.openxmlformats.org/officeDocument/2006/relationships/hyperlink" Target="https://reply.sharepoint.com/:x:/r/sites/University-stimeepiani/_layouts/15/Doc2.aspx?action=edit&amp;sourcedoc=%7B16c4efce-72c6-4838-9220-4e93f8ab38fb%7D&amp;wdOrigin=TEAMS-MAGLEV.teamsSdk_ns.rwc&amp;wdExp=TEAMS-TREATMENT&amp;wdhostclicktime=1730826335774&amp;web=1" TargetMode="External"/><Relationship Id="rId19" Type="http://schemas.openxmlformats.org/officeDocument/2006/relationships/hyperlink" Target="https://reply.sharepoint.com/:x:/r/sites/University-stimeepiani/_layouts/15/Doc2.aspx?action=edit&amp;sourcedoc=%7B932b8af2-56f7-4391-8de5-8b69b535aad8%7D&amp;wdOrigin=TEAMS-MAGLEV.teamsSdk_ns.rwc&amp;wdExp=TEAMS-TREATMENT&amp;wdhostclicktime=1733131932576&amp;web=1" TargetMode="External"/><Relationship Id="rId31" Type="http://schemas.openxmlformats.org/officeDocument/2006/relationships/hyperlink" Target="https://reply.sharepoint.com/:x:/r/sites/University-stimeepiani/_layouts/15/Doc2.aspx?action=edit&amp;sourcedoc=%7Bf14edfbd-1bf2-46eb-bca4-4aeded31d623%7D&amp;wdOrigin=TEAMS-MAGLEV.teamsSdk_ns.rwc&amp;wdExp=TEAMS-TREATMENT&amp;wdhostclicktime=1741792439279&amp;web=1" TargetMode="External"/><Relationship Id="rId44" Type="http://schemas.openxmlformats.org/officeDocument/2006/relationships/hyperlink" Target="https://reply.sharepoint.com/:x:/r/sites/University-stimeepiani/Shared%20Documents/stime%20e%20piani/IN%20STIMA/Leonardo%20-%20Translator-J%20CMS%20lite.xlsx?d=we6023cfbd60742498a21a109cfe784f7&amp;csf=1&amp;web=1&amp;e=WhM9sj" TargetMode="External"/><Relationship Id="rId4" Type="http://schemas.openxmlformats.org/officeDocument/2006/relationships/hyperlink" Target="https://reply.sharepoint.com/:x:/r/sites/University-stimeepiani/Shared%20Documents/stime%20e%20piani/IN%20STIMA/ELL-2999%20-%20Leonardo%20-%20Video%20Tracking%20Dynamic%20Timing.xlsx?d=w6b1913602d3140839906679da46ef3e1&amp;csf=1&amp;web=1&amp;e=C2C09t" TargetMode="External"/><Relationship Id="rId9" Type="http://schemas.openxmlformats.org/officeDocument/2006/relationships/hyperlink" Target="https://reply.sharepoint.com/:x:/r/sites/University-stimeepiani/Shared%20Documents/stime%20e%20piani/IN%20STIMA/Leonardo%20-%20Team%20CMS%20Luglio.xlsx?d=w270c000ffd204df882a7625ecd1ed15f&amp;csf=1&amp;web=1&amp;e=YbWvuH" TargetMode="External"/><Relationship Id="rId14" Type="http://schemas.openxmlformats.org/officeDocument/2006/relationships/hyperlink" Target="https://reply.sharepoint.com/:x:/r/sites/University-stimeepiani/Shared%20Documents/stime%20e%20piani/IN%20STIMA/Leonardo%20-%20Team%20CMS%20CR%20Marzo%202025.xlsx?d=w6f9460af4c9540edb879fe298438dd32&amp;csf=1&amp;web=1&amp;e=gIl1yU" TargetMode="External"/><Relationship Id="rId22" Type="http://schemas.openxmlformats.org/officeDocument/2006/relationships/hyperlink" Target="https://reply.sharepoint.com/:x:/r/sites/University-stimeepiani/Shared%20Documents/stime%20e%20piani/IN%20STIMA/Leonardo%20-%20Async%20Loading%20Manager%20Assignment.xlsx?d=wd768c9e7683d48389a30b89d3d5cf879&amp;csf=1&amp;web=1&amp;e=accofA" TargetMode="External"/><Relationship Id="rId27" Type="http://schemas.openxmlformats.org/officeDocument/2006/relationships/hyperlink" Target="https://reply.sharepoint.com/:x:/r/sites/University-stimeepiani/_layouts/15/Doc.aspx?sourcedoc=%7BE9F156F3-E429-4EAD-A529-D6AA08BD6BF2%7D&amp;file=Leonardo%20-%20PDP%20Refactor.xlsx&amp;action=default&amp;mobileredirect=true" TargetMode="External"/><Relationship Id="rId30" Type="http://schemas.openxmlformats.org/officeDocument/2006/relationships/hyperlink" Target="https://reply.sharepoint.com/:x:/r/sites/University-stimeepiani/Shared%20Documents/stime%20e%20piani/IN%20STIMA/ELL-4114%20Leonardo%20-%20CMS%20Migration%20to%20ONE_v1.xlsx?d=w57a7bf5a165c41078e1cdfefba775a84&amp;csf=1&amp;web=1&amp;e=VOfgrx" TargetMode="External"/><Relationship Id="rId35" Type="http://schemas.openxmlformats.org/officeDocument/2006/relationships/hyperlink" Target="https://reply.sharepoint.com/:x:/r/sites/University-stimeepiani/Shared%20Documents/stime%20e%20piani/IN%20STIMA/ELL-4940%20-%20Leonardo%20-%20Manager%20Assign%20Extension.xlsx?d=wc43a1c29a3b6470f810efaf5e8e09500&amp;csf=1&amp;web=1&amp;e=dU0lPT" TargetMode="External"/><Relationship Id="rId43" Type="http://schemas.openxmlformats.org/officeDocument/2006/relationships/hyperlink" Target="https://reply.sharepoint.com/:x:/r/sites/University-stimeepiani/_layouts/15/Doc.aspx?sourcedoc=%7Bbf351f28-6bb8-49a2-88d8-ce531951a605%7D&amp;action=edit&amp;wdPreviousSession=2bf705f4-2fee-60e7-bfe1-098e69628046" TargetMode="External"/><Relationship Id="rId48" Type="http://schemas.openxmlformats.org/officeDocument/2006/relationships/hyperlink" Target="../../../../:x:/r/sites/University-stimeepiani/_layouts/15/Doc.aspx?sourcedoc=%7B33e23f64-588b-4e60-8098-cffefa184672%7D&amp;action=edit&amp;wdPreviousSession=206277b6-b6ff-6502-d75e-cc1ece2ed6f4" TargetMode="External"/><Relationship Id="rId8" Type="http://schemas.openxmlformats.org/officeDocument/2006/relationships/hyperlink" Target="../../../../:x:/r/sites/University-stimeepiani/Shared%20Documents/stime%20e%20piani/IN%20STIMA/Leonardo%20-%20Collection%20Wave%203.xlsx?d=w3dcb3df06bfb4c2e99daa1b9fba6c7d3&amp;csf=1&amp;web=1&amp;e=vRtHtJ" TargetMode="External"/><Relationship Id="rId51" Type="http://schemas.openxmlformats.org/officeDocument/2006/relationships/hyperlink" Target="../../../../:x:/r/sites/University-stimeepiani/_layouts/15/Doc2.aspx?action=edit&amp;sourcedoc=%7Bfd43505a-d363-4a39-ae9d-d0a1ac2e1b41%7D&amp;wdOrigin=TEAMS-MAGLEV.teamsSdk_ns.rwc&amp;wdExp=TEAMS-TREATMENT&amp;wdhostclicktime=1762784559921&amp;web=1" TargetMode="External"/><Relationship Id="rId3" Type="http://schemas.openxmlformats.org/officeDocument/2006/relationships/hyperlink" Target="https://reply.sharepoint.com/:x:/r/sites/University-stimeepiani/_layouts/15/Doc2.aspx?action=edit&amp;sourcedoc=%7B814f46cf-623e-4a2b-aba7-0e848fadedd0%7D&amp;wdOrigin=TEAMS-MAGLEV.teamsSdk_ns.rwc&amp;wdExp=TEAMS-TREATMENT&amp;wdhostclicktime=1734018141064&amp;web=1&amp;ovuser=b00367e2-193a-4f48-94de-7245d45c0947%2Cm.verzeletti%40reply.it&amp;clickparams=eyJBcHBOYW1lIjoiVGVhbXMtRGVza3RvcCIsIkFwcFZlcnNpb24iOiI1MC8yNDExMDExNTcyMiIsIkhhc0ZlZGVyYXRlZFVzZXIiOmZhbHNlfQ%3D%3D" TargetMode="External"/><Relationship Id="rId12" Type="http://schemas.openxmlformats.org/officeDocument/2006/relationships/hyperlink" Target="https://reply.sharepoint.com/:x:/r/sites/University-stimeepiani/Shared%20Documents/stime%20e%20piani/IN%20STIMA/ELL-4208%20-%20Leonardo%20-%20Audit%2024%20-%20Approval%20Step.xlsx?d=wa91ef70c11f44068a2a4d6499b86b83b&amp;csf=1&amp;web=1&amp;e=4mLjg7" TargetMode="External"/><Relationship Id="rId17" Type="http://schemas.openxmlformats.org/officeDocument/2006/relationships/hyperlink" Target="https://reply.sharepoint.com/:x:/r/sites/University-stimeepiani/Shared%20Documents/stime%20e%20piani/IN%20STIMA/ELL-3681%20-%20Leonardo%20-%20OB%20Semplification_v2.xlsx?d=wfdd5e3c16de84120a3e337f20899d9d9&amp;csf=1&amp;web=1&amp;e=fom9OZ" TargetMode="External"/><Relationship Id="rId25" Type="http://schemas.openxmlformats.org/officeDocument/2006/relationships/hyperlink" Target="https://reply.sharepoint.com/:x:/r/sites/University-stimeepiani/Shared%20Documents/stime%20e%20piani/IN%20STIMA/ELL-4516%20-%20Leonardo%20-%20Automatic%20Flow%20Latest%20Collection.xlsx?d=w3e5a7905c9a84df09fb71a509ccea30b&amp;csf=1&amp;web=1&amp;e=5EVKyQ" TargetMode="External"/><Relationship Id="rId33" Type="http://schemas.openxmlformats.org/officeDocument/2006/relationships/hyperlink" Target="https://reply.sharepoint.com/:x:/r/sites/University-stimeepiani/_layouts/15/Doc2.aspx?action=edit&amp;sourcedoc=%7B3bad514a-29ef-4ee1-b32d-eed045da203c%7D&amp;wdOrigin=TEAMS-MAGLEV.teamsSdk_ns.rwc&amp;wdExp=TEAMS-TREATMENT&amp;wdhostclicktime=1759852920062&amp;web=1" TargetMode="External"/><Relationship Id="rId38" Type="http://schemas.openxmlformats.org/officeDocument/2006/relationships/hyperlink" Target="https://reply.sharepoint.com/:x:/r/sites/University-stimeepiani/_layouts/15/Doc.aspx?sourcedoc=%7Bf4a8f17b-ed2a-4b4e-a499-5e5236ed4144%7D&amp;action=edit&amp;wdPreviousSession=9f5ac88c-2a13-ed9d-2e92-52aaa62ac178" TargetMode="External"/><Relationship Id="rId46" Type="http://schemas.openxmlformats.org/officeDocument/2006/relationships/hyperlink" Target="../../../../:x:/r/sites/University-stimeepiani/_layouts/15/Doc.aspx?sourcedoc=%7Ba5a9307d-db2c-4fa9-aed5-aa9c6cdd6239%7D&amp;action=edit&amp;wdPreviousSession=a6cbcfab-aec7-40b1-6a6c-3b6624db4f33" TargetMode="External"/><Relationship Id="rId20" Type="http://schemas.openxmlformats.org/officeDocument/2006/relationships/hyperlink" Target="https://reply.sharepoint.com/:x:/r/sites/University-stimeepiani/Shared%20Documents/stime%20e%20piani/IN%20STIMA/ELL-3651%20-%20Leonardo%20-%20Content%20Language%20Management.xlsx?d=wb31be79984b4407d8260da3c5bde7048&amp;csf=1&amp;web=1&amp;e=smqU6b" TargetMode="External"/><Relationship Id="rId41" Type="http://schemas.openxmlformats.org/officeDocument/2006/relationships/hyperlink" Target="https://reply.sharepoint.com/:x:/r/sites/University-stimeepiani/Shared%20Documents/stime%20e%20piani/IN%20STIMA/ELL-4447%20-%20Leonardo%20-%20Rating%20Deprecation.xlsx?d=w6096a55a491745b7a5294820ab3e2892&amp;csf=1&amp;web=1&amp;e=YGbIPm" TargetMode="External"/><Relationship Id="rId1" Type="http://schemas.openxmlformats.org/officeDocument/2006/relationships/hyperlink" Target="https://reply.sharepoint.com/:x:/r/sites/University-stimeepiani/Shared%20Documents/stime%20e%20piani/IN%20STIMA/Leonardo%20-%20Teams%20New%20API.xlsx?d=wb726c7a9fcd147efac8942fc1bef57d2&amp;csf=1&amp;web=1&amp;e=rmmC5i" TargetMode="External"/><Relationship Id="rId6" Type="http://schemas.openxmlformats.org/officeDocument/2006/relationships/hyperlink" Target="https://reply.sharepoint.com/:x:/r/sites/University-stimeepiani/_layouts/15/doc2.aspx?sourcedoc=%7B2E99CEA4-4A54-4123-B9C7-24470762B6B1%7D&amp;file=Leonardo%20-%20Login%20Optimization%20v2.xlsx&amp;action=default&amp;mobileredirect=true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4"/>
  <sheetViews>
    <sheetView workbookViewId="0">
      <pane ySplit="1" topLeftCell="A33" activePane="bottomLeft" state="frozen"/>
      <selection pane="bottomLeft" activeCell="G45" sqref="G45"/>
    </sheetView>
  </sheetViews>
  <sheetFormatPr defaultRowHeight="15"/>
  <cols>
    <col min="2" max="2" width="61.85546875" bestFit="1" customWidth="1"/>
    <col min="3" max="3" width="11.42578125" customWidth="1"/>
    <col min="4" max="4" width="9.7109375" customWidth="1"/>
    <col min="5" max="5" width="21.85546875" customWidth="1"/>
    <col min="6" max="6" width="15.28515625" customWidth="1"/>
    <col min="7" max="7" width="17.5703125" style="32" customWidth="1"/>
    <col min="8" max="8" width="21.28515625" style="32" customWidth="1"/>
    <col min="9" max="9" width="17.85546875" customWidth="1"/>
    <col min="10" max="10" width="17.140625" customWidth="1"/>
    <col min="11" max="11" width="12.42578125" bestFit="1" customWidth="1"/>
  </cols>
  <sheetData>
    <row r="1" spans="1:11">
      <c r="A1" s="33" t="s">
        <v>0</v>
      </c>
      <c r="B1" s="33" t="s">
        <v>1</v>
      </c>
      <c r="C1" s="33" t="s">
        <v>2</v>
      </c>
      <c r="D1" s="33" t="s">
        <v>3</v>
      </c>
      <c r="E1" s="33" t="s">
        <v>4</v>
      </c>
      <c r="F1" s="33" t="s">
        <v>5</v>
      </c>
      <c r="G1" s="33" t="s">
        <v>6</v>
      </c>
      <c r="H1" s="33" t="s">
        <v>7</v>
      </c>
      <c r="I1" s="33" t="s">
        <v>8</v>
      </c>
      <c r="J1" s="33" t="s">
        <v>9</v>
      </c>
      <c r="K1" s="36"/>
    </row>
    <row r="2" spans="1:11">
      <c r="B2" s="21" t="s">
        <v>10</v>
      </c>
      <c r="C2" s="21" t="s">
        <v>11</v>
      </c>
      <c r="D2" s="21">
        <v>2025</v>
      </c>
      <c r="E2" t="s">
        <v>12</v>
      </c>
      <c r="F2" t="s">
        <v>13</v>
      </c>
      <c r="G2" s="32" cm="1">
        <f t="array" ref="G2">SUMPRODUCT(('Budget Lines - Leonardo'!$F$2:$F$1526=Offers!B2)*('Budget Lines - Leonardo'!$G$2:$G$1526))</f>
        <v>45580</v>
      </c>
      <c r="H2" s="32">
        <v>45580</v>
      </c>
      <c r="I2" s="32">
        <f>Tabella1[[#This Row],[Importo in offerta]]-Tabella1[[#This Row],[Importo finale]]</f>
        <v>0</v>
      </c>
      <c r="J2" s="32"/>
      <c r="K2" s="32"/>
    </row>
    <row r="3" spans="1:11">
      <c r="B3" t="s">
        <v>14</v>
      </c>
      <c r="C3" s="21" t="s">
        <v>11</v>
      </c>
      <c r="D3" s="21">
        <v>2025</v>
      </c>
      <c r="E3" t="s">
        <v>12</v>
      </c>
      <c r="F3" t="s">
        <v>15</v>
      </c>
      <c r="G3" s="32" cm="1">
        <f t="array" ref="G3">SUMPRODUCT(('Budget Lines - Leonardo'!$F$2:$F$1526=Offers!B3)*('Budget Lines - Leonardo'!$G$2:$G$1526))</f>
        <v>42145</v>
      </c>
      <c r="H3" s="32">
        <v>42790</v>
      </c>
      <c r="I3" s="32">
        <f>Tabella1[[#This Row],[Importo in offerta]]-Tabella1[[#This Row],[Importo finale]]</f>
        <v>645</v>
      </c>
      <c r="J3" s="32"/>
      <c r="K3" s="32"/>
    </row>
    <row r="4" spans="1:11">
      <c r="B4" t="s">
        <v>16</v>
      </c>
      <c r="C4" s="21" t="s">
        <v>11</v>
      </c>
      <c r="D4" s="21">
        <v>2025</v>
      </c>
      <c r="E4" t="s">
        <v>12</v>
      </c>
      <c r="F4" t="s">
        <v>17</v>
      </c>
      <c r="G4" s="32" cm="1">
        <f t="array" ref="G4">SUMPRODUCT(('Budget Lines - Leonardo'!$F$2:$F$1526=Offers!B4)*('Budget Lines - Leonardo'!$G$2:$G$1526))</f>
        <v>41560</v>
      </c>
      <c r="H4" s="32">
        <v>41710</v>
      </c>
      <c r="I4" s="32">
        <f>Tabella1[[#This Row],[Importo in offerta]]-Tabella1[[#This Row],[Importo finale]]</f>
        <v>150</v>
      </c>
      <c r="J4" s="32"/>
      <c r="K4" s="32"/>
    </row>
    <row r="5" spans="1:11">
      <c r="B5" t="s">
        <v>18</v>
      </c>
      <c r="C5" s="21" t="s">
        <v>11</v>
      </c>
      <c r="D5" s="21">
        <v>2025</v>
      </c>
      <c r="E5" t="s">
        <v>12</v>
      </c>
      <c r="F5" s="21" t="s">
        <v>19</v>
      </c>
      <c r="G5" s="32" cm="1">
        <f t="array" ref="G5">SUMPRODUCT(('Budget Lines - Leonardo'!$F$2:$F$1526=Offers!B5)*('Budget Lines - Leonardo'!$G$2:$G$1526))</f>
        <v>26230</v>
      </c>
      <c r="H5" s="32">
        <v>26230</v>
      </c>
      <c r="I5" s="32">
        <f>Tabella1[[#This Row],[Importo in offerta]]-Tabella1[[#This Row],[Importo finale]]</f>
        <v>0</v>
      </c>
      <c r="J5" s="32"/>
      <c r="K5" s="32"/>
    </row>
    <row r="6" spans="1:11">
      <c r="B6" t="s">
        <v>20</v>
      </c>
      <c r="C6" s="21" t="s">
        <v>11</v>
      </c>
      <c r="D6" s="21">
        <v>2025</v>
      </c>
      <c r="E6" t="s">
        <v>12</v>
      </c>
      <c r="F6" s="14" t="s">
        <v>21</v>
      </c>
      <c r="G6" s="32" cm="1">
        <f t="array" ref="G6">SUMPRODUCT(('Budget Lines - Leonardo'!$F$2:$F$1526=Offers!B6)*('Budget Lines - Leonardo'!$G$2:$G$1526))</f>
        <v>16985</v>
      </c>
      <c r="H6" s="32">
        <v>16985</v>
      </c>
      <c r="I6" s="32">
        <f>Tabella1[[#This Row],[Importo in offerta]]-Tabella1[[#This Row],[Importo finale]]</f>
        <v>0</v>
      </c>
      <c r="J6" s="32"/>
      <c r="K6" s="32"/>
    </row>
    <row r="7" spans="1:11">
      <c r="B7" t="s">
        <v>22</v>
      </c>
      <c r="C7" s="21" t="s">
        <v>11</v>
      </c>
      <c r="D7" s="21">
        <v>2025</v>
      </c>
      <c r="E7" t="s">
        <v>12</v>
      </c>
      <c r="F7" t="s">
        <v>23</v>
      </c>
      <c r="G7" s="32" cm="1">
        <f t="array" ref="G7">SUMPRODUCT(('Budget Lines - Leonardo'!$F$2:$F$1526=Offers!B7)*('Budget Lines - Leonardo'!$G$2:$G$1526))</f>
        <v>29440</v>
      </c>
      <c r="H7" s="32">
        <v>30100</v>
      </c>
      <c r="I7" s="32">
        <f>Tabella1[[#This Row],[Importo in offerta]]-Tabella1[[#This Row],[Importo finale]]</f>
        <v>660</v>
      </c>
      <c r="J7" s="32"/>
      <c r="K7" s="32"/>
    </row>
    <row r="8" spans="1:11">
      <c r="B8" t="s">
        <v>24</v>
      </c>
      <c r="C8" s="21" t="s">
        <v>11</v>
      </c>
      <c r="D8" s="21">
        <v>2025</v>
      </c>
      <c r="E8" t="s">
        <v>12</v>
      </c>
      <c r="F8" t="s">
        <v>25</v>
      </c>
      <c r="G8" s="32" cm="1">
        <f t="array" ref="G8">SUMPRODUCT(('Budget Lines - Leonardo'!$F$2:$F$1526=Offers!B8)*('Budget Lines - Leonardo'!$G$2:$G$1526))</f>
        <v>12310</v>
      </c>
      <c r="H8" s="32">
        <v>12900</v>
      </c>
      <c r="I8" s="32">
        <f>Tabella1[[#This Row],[Importo in offerta]]-Tabella1[[#This Row],[Importo finale]]</f>
        <v>590</v>
      </c>
      <c r="J8" s="32"/>
      <c r="K8" s="32"/>
    </row>
    <row r="9" spans="1:11">
      <c r="B9" t="s">
        <v>26</v>
      </c>
      <c r="C9" s="21" t="s">
        <v>11</v>
      </c>
      <c r="D9" s="21">
        <v>2025</v>
      </c>
      <c r="E9" t="s">
        <v>12</v>
      </c>
      <c r="F9" t="s">
        <v>27</v>
      </c>
      <c r="G9" s="32" cm="1">
        <f t="array" ref="G9">SUMPRODUCT(('Budget Lines - Leonardo'!$F$2:$F$1526=Offers!B9)*('Budget Lines - Leonardo'!$G$2:$G$1526))</f>
        <v>49880</v>
      </c>
      <c r="H9" s="32">
        <v>49970</v>
      </c>
      <c r="I9" s="32">
        <f>Tabella1[[#This Row],[Importo in offerta]]-Tabella1[[#This Row],[Importo finale]]</f>
        <v>90</v>
      </c>
      <c r="J9" s="32"/>
      <c r="K9" s="32"/>
    </row>
    <row r="10" spans="1:11">
      <c r="B10" t="s">
        <v>28</v>
      </c>
      <c r="C10" s="21" t="s">
        <v>11</v>
      </c>
      <c r="D10" s="21">
        <v>2025</v>
      </c>
      <c r="E10" t="s">
        <v>12</v>
      </c>
      <c r="F10" t="s">
        <v>29</v>
      </c>
      <c r="G10" s="32" cm="1">
        <f t="array" ref="G10">SUMPRODUCT(('Budget Lines - Leonardo'!$F$2:$F$1526=Offers!B10)*('Budget Lines - Leonardo'!$G$2:$G$1526))</f>
        <v>37940</v>
      </c>
      <c r="H10" s="32">
        <v>38700</v>
      </c>
      <c r="I10" s="32">
        <f>Tabella1[[#This Row],[Importo in offerta]]-Tabella1[[#This Row],[Importo finale]]</f>
        <v>760</v>
      </c>
      <c r="J10" s="32"/>
      <c r="K10" s="32"/>
    </row>
    <row r="11" spans="1:11">
      <c r="B11" t="s">
        <v>30</v>
      </c>
      <c r="C11" s="21" t="s">
        <v>11</v>
      </c>
      <c r="D11" s="21">
        <v>2025</v>
      </c>
      <c r="E11" t="s">
        <v>12</v>
      </c>
      <c r="F11" t="s">
        <v>31</v>
      </c>
      <c r="G11" s="32" cm="1">
        <f t="array" ref="G11">SUMPRODUCT(('Budget Lines - Leonardo'!$F$2:$F$1526=Offers!B11)*('Budget Lines - Leonardo'!$G$2:$G$1526))</f>
        <v>47300</v>
      </c>
      <c r="H11" s="32">
        <v>47300</v>
      </c>
      <c r="I11" s="32">
        <f>Tabella1[[#This Row],[Importo in offerta]]-Tabella1[[#This Row],[Importo finale]]</f>
        <v>0</v>
      </c>
      <c r="J11" s="32"/>
      <c r="K11" s="32"/>
    </row>
    <row r="12" spans="1:11">
      <c r="B12" t="s">
        <v>32</v>
      </c>
      <c r="C12" s="21" t="s">
        <v>11</v>
      </c>
      <c r="D12" s="21">
        <v>2025</v>
      </c>
      <c r="E12" t="s">
        <v>12</v>
      </c>
      <c r="F12" s="14" t="s">
        <v>33</v>
      </c>
      <c r="G12" s="32" cm="1">
        <f t="array" ref="G12">SUMPRODUCT(('Budget Lines - Leonardo'!$F$2:$F$1526=Offers!B12)*('Budget Lines - Leonardo'!$G$2:$G$1526))</f>
        <v>49020</v>
      </c>
      <c r="H12" s="32">
        <v>49020</v>
      </c>
      <c r="I12" s="32">
        <f>Tabella1[[#This Row],[Importo in offerta]]-Tabella1[[#This Row],[Importo finale]]</f>
        <v>0</v>
      </c>
      <c r="J12" s="32"/>
      <c r="K12" s="32"/>
    </row>
    <row r="13" spans="1:11">
      <c r="B13" t="s">
        <v>34</v>
      </c>
      <c r="C13" s="21" t="s">
        <v>11</v>
      </c>
      <c r="D13" s="21">
        <v>2025</v>
      </c>
      <c r="E13" t="s">
        <v>12</v>
      </c>
      <c r="F13" s="21" t="s">
        <v>35</v>
      </c>
      <c r="G13" s="32" cm="1">
        <f t="array" ref="G13">SUMPRODUCT(('Budget Lines - Leonardo'!$F$2:$F$1526=Offers!B13)*('Budget Lines - Leonardo'!$G$2:$G$1526))</f>
        <v>40560</v>
      </c>
      <c r="H13" s="32">
        <v>41280</v>
      </c>
      <c r="I13" s="32">
        <f>Tabella1[[#This Row],[Importo in offerta]]-Tabella1[[#This Row],[Importo finale]]</f>
        <v>720</v>
      </c>
      <c r="J13" s="32"/>
      <c r="K13" s="32"/>
    </row>
    <row r="14" spans="1:11">
      <c r="B14" t="s">
        <v>36</v>
      </c>
      <c r="C14" s="21" t="s">
        <v>11</v>
      </c>
      <c r="D14" s="21">
        <v>2025</v>
      </c>
      <c r="E14" t="s">
        <v>12</v>
      </c>
      <c r="F14" t="s">
        <v>37</v>
      </c>
      <c r="G14" s="32" cm="1">
        <f t="array" ref="G14">SUMPRODUCT(('Budget Lines - Leonardo'!$F$2:$F$1526=Offers!B14)*('Budget Lines - Leonardo'!$G$2:$G$1526))</f>
        <v>22360</v>
      </c>
      <c r="H14" s="32">
        <v>22360</v>
      </c>
      <c r="I14" s="32">
        <f>Tabella1[[#This Row],[Importo in offerta]]-Tabella1[[#This Row],[Importo finale]]</f>
        <v>0</v>
      </c>
      <c r="J14" s="32"/>
      <c r="K14" s="32"/>
    </row>
    <row r="15" spans="1:11">
      <c r="B15" t="s">
        <v>38</v>
      </c>
      <c r="C15" s="21" t="s">
        <v>11</v>
      </c>
      <c r="D15" s="21">
        <v>2025</v>
      </c>
      <c r="E15" t="s">
        <v>12</v>
      </c>
      <c r="F15" s="21" t="s">
        <v>39</v>
      </c>
      <c r="G15" s="32" cm="1">
        <f t="array" ref="G15">SUMPRODUCT(('Budget Lines - Leonardo'!$F$2:$F$1526=Offers!B15)*('Budget Lines - Leonardo'!$G$2:$G$1526))</f>
        <v>34620</v>
      </c>
      <c r="H15" s="32">
        <v>35260</v>
      </c>
      <c r="I15" s="32">
        <f>Tabella1[[#This Row],[Importo in offerta]]-Tabella1[[#This Row],[Importo finale]]</f>
        <v>640</v>
      </c>
      <c r="J15" s="32"/>
      <c r="K15" s="32"/>
    </row>
    <row r="16" spans="1:11">
      <c r="B16" t="s">
        <v>40</v>
      </c>
      <c r="C16" s="21" t="s">
        <v>11</v>
      </c>
      <c r="D16" s="21">
        <v>2025</v>
      </c>
      <c r="E16" t="s">
        <v>12</v>
      </c>
      <c r="F16" t="s">
        <v>41</v>
      </c>
      <c r="G16" s="32" cm="1">
        <f t="array" ref="G16">SUMPRODUCT(('Budget Lines - Leonardo'!$F$2:$F$1526=Offers!B16)*('Budget Lines - Leonardo'!$G$2:$G$1526))</f>
        <v>26660</v>
      </c>
      <c r="H16" s="32">
        <v>26660</v>
      </c>
      <c r="I16" s="32">
        <f>Tabella1[[#This Row],[Importo in offerta]]-Tabella1[[#This Row],[Importo finale]]</f>
        <v>0</v>
      </c>
      <c r="J16" s="32"/>
      <c r="K16" s="32"/>
    </row>
    <row r="17" spans="2:11">
      <c r="B17" t="s">
        <v>42</v>
      </c>
      <c r="C17" s="21" t="s">
        <v>11</v>
      </c>
      <c r="D17" s="21">
        <v>2025</v>
      </c>
      <c r="E17" t="s">
        <v>12</v>
      </c>
      <c r="F17" t="s">
        <v>43</v>
      </c>
      <c r="G17" s="32" cm="1">
        <f t="array" ref="G17">SUMPRODUCT(('Budget Lines - Leonardo'!$F$2:$F$1526=Offers!B17)*('Budget Lines - Leonardo'!$G$2:$G$1526))</f>
        <v>48590</v>
      </c>
      <c r="H17" s="32">
        <v>48590</v>
      </c>
      <c r="I17" s="32">
        <f>Tabella1[[#This Row],[Importo in offerta]]-Tabella1[[#This Row],[Importo finale]]</f>
        <v>0</v>
      </c>
      <c r="J17" s="32"/>
      <c r="K17" s="32"/>
    </row>
    <row r="18" spans="2:11">
      <c r="B18" t="s">
        <v>44</v>
      </c>
      <c r="C18" s="21" t="s">
        <v>11</v>
      </c>
      <c r="D18" s="21">
        <v>2025</v>
      </c>
      <c r="E18" t="s">
        <v>12</v>
      </c>
      <c r="F18" t="s">
        <v>45</v>
      </c>
      <c r="G18" s="32" cm="1">
        <f t="array" ref="G18">SUMPRODUCT(('Budget Lines - Leonardo'!$F$2:$F$1526=Offers!B18)*('Budget Lines - Leonardo'!$G$2:$G$1526))</f>
        <v>46870</v>
      </c>
      <c r="H18" s="32">
        <v>46870</v>
      </c>
      <c r="I18" s="32">
        <f>Tabella1[[#This Row],[Importo in offerta]]-Tabella1[[#This Row],[Importo finale]]</f>
        <v>0</v>
      </c>
      <c r="J18" s="32"/>
      <c r="K18" s="32"/>
    </row>
    <row r="19" spans="2:11">
      <c r="B19" t="s">
        <v>46</v>
      </c>
      <c r="C19" s="21" t="s">
        <v>11</v>
      </c>
      <c r="D19" s="21">
        <v>2025</v>
      </c>
      <c r="E19" t="s">
        <v>12</v>
      </c>
      <c r="F19" t="s">
        <v>47</v>
      </c>
      <c r="G19" s="32" cm="1">
        <f t="array" ref="G19">SUMPRODUCT(('Budget Lines - Leonardo'!$F$2:$F$1526=Offers!B19)*('Budget Lines - Leonardo'!$G$2:$G$1526))</f>
        <v>34145</v>
      </c>
      <c r="H19" s="32">
        <v>34480</v>
      </c>
      <c r="I19" s="32">
        <f>Tabella1[[#This Row],[Importo in offerta]]-Tabella1[[#This Row],[Importo finale]]</f>
        <v>335</v>
      </c>
      <c r="J19" s="32"/>
      <c r="K19" s="32"/>
    </row>
    <row r="20" spans="2:11">
      <c r="B20" t="s">
        <v>48</v>
      </c>
      <c r="C20" s="21" t="s">
        <v>11</v>
      </c>
      <c r="D20" s="21">
        <v>2025</v>
      </c>
      <c r="E20" t="s">
        <v>12</v>
      </c>
      <c r="F20" t="s">
        <v>49</v>
      </c>
      <c r="G20" s="32" cm="1">
        <f t="array" ref="G20">SUMPRODUCT(('Budget Lines - Leonardo'!$F$2:$F$1526=Offers!B20)*('Budget Lines - Leonardo'!$G$2:$G$1526))</f>
        <v>106640</v>
      </c>
      <c r="H20" s="32">
        <v>106640</v>
      </c>
      <c r="I20" s="32">
        <f>Tabella1[[#This Row],[Importo in offerta]]-Tabella1[[#This Row],[Importo finale]]</f>
        <v>0</v>
      </c>
      <c r="J20" s="32"/>
      <c r="K20" s="32"/>
    </row>
    <row r="21" spans="2:11">
      <c r="B21" t="s">
        <v>50</v>
      </c>
      <c r="C21" s="21" t="s">
        <v>11</v>
      </c>
      <c r="D21" s="21">
        <v>2025</v>
      </c>
      <c r="E21" t="s">
        <v>12</v>
      </c>
      <c r="F21" t="s">
        <v>51</v>
      </c>
      <c r="G21" s="32" cm="1">
        <f t="array" ref="G21">SUMPRODUCT(('Budget Lines - Leonardo'!$F$2:$F$1526=Offers!B21)*('Budget Lines - Leonardo'!$G$2:$G$1526))</f>
        <v>106000</v>
      </c>
      <c r="H21" s="32">
        <v>118035</v>
      </c>
      <c r="I21" s="32">
        <f>Tabella1[[#This Row],[Importo in offerta]]-Tabella1[[#This Row],[Importo finale]]</f>
        <v>12035</v>
      </c>
      <c r="J21" s="32"/>
      <c r="K21" s="32"/>
    </row>
    <row r="22" spans="2:11">
      <c r="B22" t="s">
        <v>52</v>
      </c>
      <c r="C22" s="21" t="s">
        <v>11</v>
      </c>
      <c r="D22" s="21">
        <v>2025</v>
      </c>
      <c r="E22" t="s">
        <v>12</v>
      </c>
      <c r="F22" t="s">
        <v>53</v>
      </c>
      <c r="G22" s="32" cm="1">
        <f t="array" ref="G22">SUMPRODUCT(('Budget Lines - Leonardo'!$F$2:$F$1526=Offers!B22)*('Budget Lines - Leonardo'!$G$2:$G$1526))</f>
        <v>114000</v>
      </c>
      <c r="H22" s="32">
        <v>125775</v>
      </c>
      <c r="I22" s="32">
        <f>Tabella1[[#This Row],[Importo in offerta]]-Tabella1[[#This Row],[Importo finale]]</f>
        <v>11775</v>
      </c>
      <c r="J22" s="32"/>
      <c r="K22" s="32"/>
    </row>
    <row r="23" spans="2:11">
      <c r="B23" t="s">
        <v>54</v>
      </c>
      <c r="C23" s="21" t="s">
        <v>11</v>
      </c>
      <c r="D23" s="21">
        <v>2025</v>
      </c>
      <c r="E23" t="s">
        <v>12</v>
      </c>
      <c r="G23" s="32" cm="1">
        <f t="array" ref="G23">SUMPRODUCT(('Budget Lines - Leonardo'!$F$2:$F$1526=Offers!B23)*('Budget Lines - Leonardo'!$G$2:$G$1526))</f>
        <v>108360</v>
      </c>
      <c r="H23" s="32">
        <v>108360</v>
      </c>
      <c r="I23" s="32">
        <f>Tabella1[[#This Row],[Importo in offerta]]-Tabella1[[#This Row],[Importo finale]]</f>
        <v>0</v>
      </c>
      <c r="J23" s="32"/>
      <c r="K23" s="32"/>
    </row>
    <row r="24" spans="2:11">
      <c r="B24" t="s">
        <v>55</v>
      </c>
      <c r="C24" s="21" t="s">
        <v>11</v>
      </c>
      <c r="D24" s="21">
        <v>2025</v>
      </c>
      <c r="E24" t="s">
        <v>12</v>
      </c>
      <c r="F24" t="s">
        <v>56</v>
      </c>
      <c r="G24" s="32" cm="1">
        <f t="array" ref="G24">SUMPRODUCT(('Budget Lines - Leonardo'!$F$2:$F$1526=Offers!B24)*('Budget Lines - Leonardo'!$G$2:$G$1526))</f>
        <v>6895</v>
      </c>
      <c r="H24" s="32">
        <v>6960</v>
      </c>
      <c r="I24" s="32">
        <f>Tabella1[[#This Row],[Importo in offerta]]-Tabella1[[#This Row],[Importo finale]]</f>
        <v>65</v>
      </c>
      <c r="J24" s="32"/>
      <c r="K24" s="32"/>
    </row>
    <row r="25" spans="2:11">
      <c r="B25" t="s">
        <v>57</v>
      </c>
      <c r="C25" s="21" t="s">
        <v>11</v>
      </c>
      <c r="D25" s="21">
        <v>2025</v>
      </c>
      <c r="E25" t="s">
        <v>12</v>
      </c>
      <c r="F25" t="s">
        <v>58</v>
      </c>
      <c r="G25" s="32" cm="1">
        <f t="array" ref="G25">SUMPRODUCT(('Budget Lines - Leonardo'!$F$2:$F$1526=Offers!B25)*('Budget Lines - Leonardo'!$G$2:$G$1526))</f>
        <v>17600</v>
      </c>
      <c r="H25" s="32">
        <v>18060</v>
      </c>
      <c r="I25" s="32">
        <f>Tabella1[[#This Row],[Importo in offerta]]-Tabella1[[#This Row],[Importo finale]]</f>
        <v>460</v>
      </c>
      <c r="J25" s="32"/>
      <c r="K25" s="32"/>
    </row>
    <row r="26" spans="2:11">
      <c r="B26" t="s">
        <v>59</v>
      </c>
      <c r="C26" s="21" t="s">
        <v>11</v>
      </c>
      <c r="D26" s="21">
        <v>2025</v>
      </c>
      <c r="E26" t="s">
        <v>12</v>
      </c>
      <c r="F26" t="s">
        <v>60</v>
      </c>
      <c r="G26" s="32" cm="1">
        <f t="array" ref="G26">SUMPRODUCT(('Budget Lines - Leonardo'!$F$2:$F$1526=Offers!B26)*('Budget Lines - Leonardo'!$G$2:$G$1526))</f>
        <v>0</v>
      </c>
      <c r="I26" s="32">
        <f>Tabella1[[#This Row],[Importo in offerta]]-Tabella1[[#This Row],[Importo finale]]</f>
        <v>0</v>
      </c>
      <c r="J26" s="32"/>
      <c r="K26" s="32"/>
    </row>
    <row r="27" spans="2:11">
      <c r="B27" t="s">
        <v>61</v>
      </c>
      <c r="C27" s="21" t="s">
        <v>11</v>
      </c>
      <c r="D27" s="21">
        <v>2025</v>
      </c>
      <c r="E27" t="s">
        <v>12</v>
      </c>
      <c r="F27" t="s">
        <v>62</v>
      </c>
      <c r="G27" s="32" cm="1">
        <f t="array" ref="G27">SUMPRODUCT(('Budget Lines - Leonardo'!$F$2:$F$1526=Offers!B27)*('Budget Lines - Leonardo'!$G$2:$G$1526))</f>
        <v>0</v>
      </c>
      <c r="I27" s="32">
        <f>Tabella1[[#This Row],[Importo in offerta]]-Tabella1[[#This Row],[Importo finale]]</f>
        <v>0</v>
      </c>
      <c r="J27" s="32"/>
      <c r="K27" s="32"/>
    </row>
    <row r="28" spans="2:11">
      <c r="B28" t="s">
        <v>63</v>
      </c>
      <c r="C28" s="21" t="s">
        <v>64</v>
      </c>
      <c r="D28" s="21">
        <v>2025</v>
      </c>
      <c r="E28" t="s">
        <v>12</v>
      </c>
      <c r="F28" t="s">
        <v>65</v>
      </c>
      <c r="G28" s="32" cm="1">
        <f t="array" ref="G28">SUMPRODUCT(('Budget Lines - Leonardo'!$F$2:$F$1526=Offers!B28)*('Budget Lines - Leonardo'!$G$2:$G$1526))</f>
        <v>0</v>
      </c>
      <c r="I28" s="32">
        <f>Tabella1[[#This Row],[Importo in offerta]]-Tabella1[[#This Row],[Importo finale]]</f>
        <v>0</v>
      </c>
      <c r="J28" s="32"/>
      <c r="K28" s="32"/>
    </row>
    <row r="29" spans="2:11">
      <c r="B29" t="s">
        <v>66</v>
      </c>
      <c r="C29" s="21" t="s">
        <v>64</v>
      </c>
      <c r="D29" s="21">
        <v>2025</v>
      </c>
      <c r="E29" t="s">
        <v>12</v>
      </c>
      <c r="F29" t="s">
        <v>67</v>
      </c>
      <c r="G29" s="32" cm="1">
        <f t="array" ref="G29">SUMPRODUCT(('Budget Lines - Leonardo'!$F$2:$F$1526=Offers!B29)*('Budget Lines - Leonardo'!$G$2:$G$1526))</f>
        <v>0</v>
      </c>
      <c r="I29" s="32">
        <f>Tabella1[[#This Row],[Importo in offerta]]-Tabella1[[#This Row],[Importo finale]]</f>
        <v>0</v>
      </c>
      <c r="J29" s="32"/>
      <c r="K29" s="32"/>
    </row>
    <row r="30" spans="2:11">
      <c r="B30" t="s">
        <v>68</v>
      </c>
      <c r="C30" s="21" t="s">
        <v>11</v>
      </c>
      <c r="D30" s="21">
        <v>2025</v>
      </c>
      <c r="E30" t="s">
        <v>12</v>
      </c>
      <c r="F30" t="s">
        <v>69</v>
      </c>
      <c r="G30" s="32" cm="1">
        <f t="array" ref="G30">SUMPRODUCT(('Budget Lines - Leonardo'!$F$2:$F$1526=Offers!B30)*('Budget Lines - Leonardo'!$G$2:$G$1526))</f>
        <v>0</v>
      </c>
      <c r="I30" s="32">
        <f>Tabella1[[#This Row],[Importo in offerta]]-Tabella1[[#This Row],[Importo finale]]</f>
        <v>0</v>
      </c>
      <c r="J30" s="32"/>
      <c r="K30" s="32"/>
    </row>
    <row r="31" spans="2:11">
      <c r="B31" t="s">
        <v>70</v>
      </c>
      <c r="C31" s="21" t="s">
        <v>64</v>
      </c>
      <c r="D31" s="21">
        <v>2025</v>
      </c>
      <c r="E31" t="s">
        <v>12</v>
      </c>
      <c r="G31" s="32" cm="1">
        <f t="array" ref="G31">SUMPRODUCT(('Budget Lines - Leonardo'!$F$2:$F$1526=Offers!B31)*('Budget Lines - Leonardo'!$G$2:$G$1526))</f>
        <v>0</v>
      </c>
      <c r="I31" s="32">
        <f>Tabella1[[#This Row],[Importo in offerta]]-Tabella1[[#This Row],[Importo finale]]</f>
        <v>0</v>
      </c>
      <c r="J31" s="32"/>
    </row>
    <row r="32" spans="2:11">
      <c r="B32" t="s">
        <v>71</v>
      </c>
      <c r="C32" s="21" t="s">
        <v>64</v>
      </c>
      <c r="D32" s="21">
        <v>2025</v>
      </c>
      <c r="E32" t="s">
        <v>12</v>
      </c>
      <c r="F32" t="s">
        <v>72</v>
      </c>
      <c r="G32" s="32" cm="1">
        <f t="array" ref="G32">SUMPRODUCT(('Budget Lines - Leonardo'!$F$2:$F$1526=Offers!B32)*('Budget Lines - Leonardo'!$G$2:$G$1526))</f>
        <v>0</v>
      </c>
      <c r="I32" s="32">
        <f>Tabella1[[#This Row],[Importo in offerta]]-Tabella1[[#This Row],[Importo finale]]</f>
        <v>0</v>
      </c>
      <c r="J32" s="32"/>
    </row>
    <row r="33" spans="2:10">
      <c r="B33" t="s">
        <v>73</v>
      </c>
      <c r="C33" s="21" t="s">
        <v>11</v>
      </c>
      <c r="D33">
        <v>2026</v>
      </c>
      <c r="E33" t="s">
        <v>74</v>
      </c>
      <c r="F33" t="s">
        <v>75</v>
      </c>
      <c r="G33" s="32" cm="1">
        <f t="array" ref="G33">SUMPRODUCT(('Budget Lines - Leonardo'!$F$2:$F$1526=Offers!B33)*('Budget Lines - Leonardo'!$G$2:$G$1526))</f>
        <v>0</v>
      </c>
      <c r="I33" s="32">
        <f>Tabella1[[#This Row],[Importo in offerta]]-Tabella1[[#This Row],[Importo finale]]</f>
        <v>0</v>
      </c>
      <c r="J33" s="32"/>
    </row>
    <row r="34" spans="2:10">
      <c r="B34" t="s">
        <v>76</v>
      </c>
      <c r="C34" s="21" t="s">
        <v>11</v>
      </c>
      <c r="D34">
        <v>2026</v>
      </c>
      <c r="E34" t="s">
        <v>74</v>
      </c>
      <c r="F34" t="s">
        <v>77</v>
      </c>
      <c r="G34" s="32" cm="1">
        <f t="array" ref="G34">SUMPRODUCT(('Budget Lines - Leonardo'!$F$2:$F$1526=Offers!B34)*('Budget Lines - Leonardo'!$G$2:$G$1526))</f>
        <v>17330</v>
      </c>
      <c r="H34" s="32">
        <v>18060</v>
      </c>
      <c r="I34" s="32">
        <f>Tabella1[[#This Row],[Importo in offerta]]-Tabella1[[#This Row],[Importo finale]]</f>
        <v>730</v>
      </c>
      <c r="J34" s="32"/>
    </row>
    <row r="35" spans="2:10">
      <c r="B35" t="s">
        <v>78</v>
      </c>
      <c r="C35" s="21" t="s">
        <v>11</v>
      </c>
      <c r="D35">
        <v>2026</v>
      </c>
      <c r="E35" t="s">
        <v>74</v>
      </c>
      <c r="F35" t="s">
        <v>79</v>
      </c>
      <c r="G35" s="32" cm="1">
        <f t="array" ref="G35">SUMPRODUCT(('Budget Lines - Leonardo'!$F$2:$F$1526=Offers!B35)*('Budget Lines - Leonardo'!$G$2:$G$1526))</f>
        <v>17760</v>
      </c>
      <c r="H35" s="32">
        <v>18490</v>
      </c>
      <c r="I35" s="32">
        <f>Tabella1[[#This Row],[Importo in offerta]]-Tabella1[[#This Row],[Importo finale]]</f>
        <v>730</v>
      </c>
      <c r="J35" s="32"/>
    </row>
    <row r="36" spans="2:10">
      <c r="B36" t="s">
        <v>80</v>
      </c>
      <c r="C36" s="21" t="s">
        <v>11</v>
      </c>
      <c r="D36">
        <v>2026</v>
      </c>
      <c r="E36" t="s">
        <v>74</v>
      </c>
      <c r="F36" t="s">
        <v>81</v>
      </c>
      <c r="G36" s="32" cm="1">
        <f t="array" ref="G36">SUMPRODUCT(('Budget Lines - Leonardo'!$F$2:$F$1526=Offers!B36)*('Budget Lines - Leonardo'!$G$2:$G$1526))</f>
        <v>19050</v>
      </c>
      <c r="H36" s="32">
        <v>19780</v>
      </c>
      <c r="I36" s="32">
        <f>Tabella1[[#This Row],[Importo in offerta]]-Tabella1[[#This Row],[Importo finale]]</f>
        <v>730</v>
      </c>
      <c r="J36" s="32"/>
    </row>
    <row r="37" spans="2:10">
      <c r="B37" t="s">
        <v>82</v>
      </c>
      <c r="C37" s="21" t="s">
        <v>11</v>
      </c>
      <c r="D37">
        <v>2026</v>
      </c>
      <c r="E37" t="s">
        <v>74</v>
      </c>
      <c r="F37" t="s">
        <v>83</v>
      </c>
      <c r="G37" s="32" cm="1">
        <f t="array" ref="G37">SUMPRODUCT(('Budget Lines - Leonardo'!$F$2:$F$1526=Offers!B37)*('Budget Lines - Leonardo'!$G$2:$G$1526))</f>
        <v>25930</v>
      </c>
      <c r="H37" s="32">
        <v>26660</v>
      </c>
      <c r="I37" s="32">
        <f>Tabella1[[#This Row],[Importo in offerta]]-Tabella1[[#This Row],[Importo finale]]</f>
        <v>730</v>
      </c>
      <c r="J37" s="32"/>
    </row>
    <row r="38" spans="2:10">
      <c r="B38" s="21" t="s">
        <v>84</v>
      </c>
      <c r="C38" s="21" t="s">
        <v>11</v>
      </c>
      <c r="D38">
        <v>2026</v>
      </c>
      <c r="E38" t="s">
        <v>74</v>
      </c>
      <c r="F38" t="s">
        <v>85</v>
      </c>
      <c r="G38" s="32" cm="1">
        <f t="array" ref="G38">SUMPRODUCT(('Budget Lines - Leonardo'!$F$2:$F$1526=Offers!B38)*('Budget Lines - Leonardo'!$G$2:$G$1526))</f>
        <v>0</v>
      </c>
      <c r="H38" s="32">
        <v>119970</v>
      </c>
      <c r="I38" s="32">
        <f>Tabella1[[#This Row],[Importo in offerta]]-Tabella1[[#This Row],[Importo finale]]</f>
        <v>119970</v>
      </c>
      <c r="J38" s="32"/>
    </row>
    <row r="39" spans="2:10">
      <c r="B39" s="21" t="s">
        <v>86</v>
      </c>
      <c r="C39" s="21" t="s">
        <v>64</v>
      </c>
      <c r="D39">
        <v>2026</v>
      </c>
      <c r="E39" t="s">
        <v>74</v>
      </c>
      <c r="F39" t="s">
        <v>87</v>
      </c>
      <c r="G39" s="32" cm="1">
        <f t="array" ref="G39">SUMPRODUCT(('Budget Lines - Intranet'!$F$2:$F$1531=Offers!B39)*('Budget Lines - Intranet'!$G$2:$G$1531))</f>
        <v>12900</v>
      </c>
      <c r="H39" s="32">
        <v>13050</v>
      </c>
      <c r="I39" s="32">
        <f>Tabella1[[#This Row],[Importo in offerta]]-Tabella1[[#This Row],[Importo finale]]</f>
        <v>150</v>
      </c>
      <c r="J39" s="32"/>
    </row>
    <row r="40" spans="2:10">
      <c r="B40" s="21" t="s">
        <v>88</v>
      </c>
      <c r="C40" t="s">
        <v>89</v>
      </c>
      <c r="D40">
        <v>2026</v>
      </c>
      <c r="E40" t="s">
        <v>74</v>
      </c>
      <c r="F40" t="s">
        <v>90</v>
      </c>
      <c r="G40" s="32" cm="1">
        <f t="array" ref="G40">SUMPRODUCT(('Budget Lines - Leonardo'!$F$2:$F$1526=Offers!B40)*('Budget Lines - Leonardo'!$G$2:$G$1526))</f>
        <v>17200</v>
      </c>
      <c r="H40" s="32">
        <v>17450</v>
      </c>
      <c r="I40" s="32">
        <f>Tabella1[[#This Row],[Importo in offerta]]-Tabella1[[#This Row],[Importo finale]]</f>
        <v>250</v>
      </c>
      <c r="J40" s="32"/>
    </row>
    <row r="41" spans="2:10">
      <c r="B41" s="21" t="s">
        <v>91</v>
      </c>
      <c r="C41" t="s">
        <v>89</v>
      </c>
      <c r="D41">
        <v>2026</v>
      </c>
      <c r="E41" t="s">
        <v>74</v>
      </c>
      <c r="F41" t="s">
        <v>92</v>
      </c>
      <c r="G41" s="32" cm="1">
        <f t="array" ref="G41">SUMPRODUCT(('Budget Lines - Leonardo'!$F$2:$F$1526=Offers!B41)*('Budget Lines - Leonardo'!$G$2:$G$1526))</f>
        <v>0</v>
      </c>
      <c r="I41" s="32">
        <f>Tabella1[[#This Row],[Importo in offerta]]-Tabella1[[#This Row],[Importo finale]]</f>
        <v>0</v>
      </c>
      <c r="J41" s="32"/>
    </row>
    <row r="42" spans="2:10">
      <c r="B42" s="21" t="s">
        <v>93</v>
      </c>
      <c r="C42" s="21" t="s">
        <v>11</v>
      </c>
      <c r="D42">
        <v>2026</v>
      </c>
      <c r="E42" t="s">
        <v>74</v>
      </c>
      <c r="F42" t="s">
        <v>94</v>
      </c>
      <c r="G42" s="32" cm="1">
        <f t="array" ref="G42">SUMPRODUCT(('Budget Lines - Leonardo'!$F$2:$F$1526=Offers!B42)*('Budget Lines - Leonardo'!$G$2:$G$1526))</f>
        <v>45270</v>
      </c>
      <c r="H42" s="32">
        <v>45400</v>
      </c>
      <c r="I42" s="32">
        <f>Tabella1[[#This Row],[Importo in offerta]]-Tabella1[[#This Row],[Importo finale]]</f>
        <v>130</v>
      </c>
      <c r="J42" s="32"/>
    </row>
    <row r="43" spans="2:10">
      <c r="B43" s="21" t="s">
        <v>95</v>
      </c>
      <c r="C43" s="21" t="s">
        <v>11</v>
      </c>
      <c r="D43">
        <v>2026</v>
      </c>
      <c r="E43" t="s">
        <v>74</v>
      </c>
      <c r="F43" t="s">
        <v>96</v>
      </c>
      <c r="G43" s="32" cm="1">
        <f t="array" ref="G43">SUMPRODUCT(('Budget Lines - Leonardo'!$F$2:$F$1526=Offers!B43)*('Budget Lines - Leonardo'!$G$2:$G$1526))</f>
        <v>43000</v>
      </c>
      <c r="H43" s="32">
        <v>43000</v>
      </c>
      <c r="I43" s="32">
        <f>Tabella1[[#This Row],[Importo in offerta]]-Tabella1[[#This Row],[Importo finale]]</f>
        <v>0</v>
      </c>
      <c r="J43" s="32"/>
    </row>
    <row r="44" spans="2:10">
      <c r="B44" s="21" t="s">
        <v>97</v>
      </c>
      <c r="C44" t="s">
        <v>11</v>
      </c>
      <c r="D44">
        <v>2026</v>
      </c>
      <c r="E44" t="s">
        <v>74</v>
      </c>
      <c r="F44" t="s">
        <v>98</v>
      </c>
      <c r="G44" s="32" cm="1">
        <f t="array" ref="G44">SUMPRODUCT(('Budget Lines - Leonardo'!$F$2:$F$1526=Offers!B44)*('Budget Lines - Leonardo'!$G$2:$G$1526))</f>
        <v>37840</v>
      </c>
      <c r="H44" s="32">
        <v>38150</v>
      </c>
      <c r="I44" s="32">
        <f>Tabella1[[#This Row],[Importo in offerta]]-Tabella1[[#This Row],[Importo finale]]</f>
        <v>310</v>
      </c>
      <c r="J44" s="32"/>
    </row>
    <row r="45" spans="2:10">
      <c r="B45" s="21" t="s">
        <v>99</v>
      </c>
      <c r="C45" t="s">
        <v>11</v>
      </c>
      <c r="D45">
        <v>2026</v>
      </c>
      <c r="E45" t="s">
        <v>74</v>
      </c>
      <c r="F45" t="s">
        <v>100</v>
      </c>
      <c r="G45" s="32" cm="1">
        <f t="array" ref="G45">SUMPRODUCT(('Budget Lines - Leonardo'!$F$2:$F$1526=Offers!B45)*('Budget Lines - Leonardo'!$G$2:$G$1526))</f>
        <v>0</v>
      </c>
      <c r="H45" s="32">
        <v>46500</v>
      </c>
      <c r="I45" s="32">
        <f>Tabella1[[#This Row],[Importo in offerta]]-Tabella1[[#This Row],[Importo finale]]</f>
        <v>46500</v>
      </c>
      <c r="J45" s="32"/>
    </row>
    <row r="46" spans="2:10">
      <c r="B46" s="21" t="s">
        <v>101</v>
      </c>
      <c r="C46" t="s">
        <v>102</v>
      </c>
      <c r="D46">
        <v>2026</v>
      </c>
      <c r="F46" t="s">
        <v>103</v>
      </c>
      <c r="G46" s="32" cm="1">
        <f t="array" ref="G46">SUMPRODUCT(('Budget Lines - VIVA'!$F$2:$F$1536=Offers!B46)*('Budget Lines - VIVA'!$G$2:$G$1536))</f>
        <v>25000</v>
      </c>
      <c r="H46" s="32">
        <v>25000</v>
      </c>
      <c r="I46" s="32">
        <f>Tabella1[[#This Row],[Importo in offerta]]-Tabella1[[#This Row],[Importo finale]]</f>
        <v>0</v>
      </c>
      <c r="J46" s="32"/>
    </row>
    <row r="47" spans="2:10">
      <c r="B47" s="21" t="s">
        <v>104</v>
      </c>
      <c r="C47" t="s">
        <v>102</v>
      </c>
      <c r="D47">
        <v>2026</v>
      </c>
      <c r="F47" t="s">
        <v>105</v>
      </c>
      <c r="G47" s="32" cm="1">
        <f t="array" ref="G47">SUMPRODUCT(('Budget Lines - VIVA'!$F$2:$F$1536=Offers!B47)*('Budget Lines - VIVA'!$G$2:$G$1536))</f>
        <v>25000</v>
      </c>
      <c r="H47" s="32">
        <v>25000</v>
      </c>
      <c r="I47" s="32">
        <f>Tabella1[[#This Row],[Importo in offerta]]-Tabella1[[#This Row],[Importo finale]]</f>
        <v>0</v>
      </c>
      <c r="J47" s="32"/>
    </row>
    <row r="48" spans="2:10">
      <c r="B48" s="21" t="s">
        <v>106</v>
      </c>
      <c r="C48" t="s">
        <v>102</v>
      </c>
      <c r="D48">
        <v>2026</v>
      </c>
      <c r="F48" t="s">
        <v>107</v>
      </c>
      <c r="G48" s="32" cm="1">
        <f t="array" ref="G48">SUMPRODUCT(('Budget Lines - VIVA'!$F$2:$F$1536=Offers!B48)*('Budget Lines - VIVA'!$G$2:$G$1536))</f>
        <v>25000</v>
      </c>
      <c r="H48" s="32">
        <v>25000</v>
      </c>
      <c r="I48" s="32">
        <f>Tabella1[[#This Row],[Importo in offerta]]-Tabella1[[#This Row],[Importo finale]]</f>
        <v>0</v>
      </c>
      <c r="J48" s="32"/>
    </row>
    <row r="49" spans="2:10">
      <c r="B49" s="21" t="s">
        <v>108</v>
      </c>
      <c r="C49" t="s">
        <v>102</v>
      </c>
      <c r="D49">
        <v>2026</v>
      </c>
      <c r="E49" t="s">
        <v>74</v>
      </c>
      <c r="F49" t="s">
        <v>109</v>
      </c>
      <c r="G49" s="32" cm="1">
        <f t="array" ref="G49">SUMPRODUCT(('Budget Lines - VIVA'!$F$2:$F$1527=Offers!B49)*('Budget Lines - VIVA'!$G$2:$G$1527))</f>
        <v>37456</v>
      </c>
      <c r="H49" s="32">
        <v>39900</v>
      </c>
      <c r="I49" s="32">
        <f>Tabella1[[#This Row],[Importo in offerta]]-Tabella1[[#This Row],[Importo finale]]</f>
        <v>2444</v>
      </c>
      <c r="J49" s="32"/>
    </row>
    <row r="50" spans="2:10">
      <c r="B50" s="21" t="s">
        <v>110</v>
      </c>
      <c r="C50" t="s">
        <v>102</v>
      </c>
      <c r="D50">
        <v>2026</v>
      </c>
      <c r="E50" t="s">
        <v>74</v>
      </c>
      <c r="F50" t="s">
        <v>111</v>
      </c>
      <c r="G50" s="32" cm="1">
        <f t="array" ref="G50">SUMPRODUCT(('Budget Lines - VIVA'!$F$2:$F$1527=Offers!B50)*('Budget Lines - VIVA'!$G$2:$G$1527))</f>
        <v>13050</v>
      </c>
      <c r="H50" s="32">
        <v>15050</v>
      </c>
      <c r="I50" s="32">
        <f>Tabella1[[#This Row],[Importo in offerta]]-Tabella1[[#This Row],[Importo finale]]</f>
        <v>2000</v>
      </c>
      <c r="J50" s="32"/>
    </row>
    <row r="51" spans="2:10">
      <c r="B51" s="21" t="s">
        <v>112</v>
      </c>
      <c r="C51" t="s">
        <v>102</v>
      </c>
      <c r="D51">
        <v>2026</v>
      </c>
      <c r="E51" t="s">
        <v>74</v>
      </c>
      <c r="F51" t="s">
        <v>113</v>
      </c>
      <c r="G51" s="32" cm="1">
        <f t="array" ref="G51">SUMPRODUCT(('Budget Lines - VIVA'!$F$2:$F$1527=Offers!B51)*('Budget Lines - VIVA'!$G$2:$G$1527))</f>
        <v>22250</v>
      </c>
      <c r="H51" s="32">
        <v>25800</v>
      </c>
      <c r="I51" s="32">
        <f>Tabella1[[#This Row],[Importo in offerta]]-Tabella1[[#This Row],[Importo finale]]</f>
        <v>3550</v>
      </c>
      <c r="J51" s="32"/>
    </row>
    <row r="52" spans="2:10">
      <c r="B52" s="21" t="s">
        <v>114</v>
      </c>
      <c r="C52" t="s">
        <v>11</v>
      </c>
      <c r="D52">
        <v>2026</v>
      </c>
      <c r="E52" t="s">
        <v>74</v>
      </c>
      <c r="F52" t="s">
        <v>115</v>
      </c>
      <c r="G52" s="32" cm="1">
        <f t="array" ref="G52">SUMPRODUCT(('Budget Lines - Leonardo'!$F$2:$F$1526=Offers!B52)*('Budget Lines - Leonardo'!$G$2:$G$1526))</f>
        <v>0</v>
      </c>
      <c r="H52" s="32">
        <v>45300</v>
      </c>
      <c r="I52" s="32">
        <f>Tabella1[[#This Row],[Importo in offerta]]-Tabella1[[#This Row],[Importo finale]]</f>
        <v>45300</v>
      </c>
      <c r="J52" s="32"/>
    </row>
    <row r="53" spans="2:10">
      <c r="B53" s="21" t="s">
        <v>116</v>
      </c>
      <c r="C53" t="s">
        <v>64</v>
      </c>
      <c r="D53">
        <v>2026</v>
      </c>
      <c r="E53" t="s">
        <v>74</v>
      </c>
      <c r="F53" t="s">
        <v>117</v>
      </c>
      <c r="G53" s="32" cm="1">
        <f t="array" ref="G53">SUMPRODUCT(('Budget Lines - Intranet'!$F$2:$F$1531=Offers!B53)*('Budget Lines - Intranet'!$G$2:$G$1531))</f>
        <v>4300</v>
      </c>
      <c r="H53" s="32">
        <v>4500</v>
      </c>
      <c r="I53" s="32">
        <f>Tabella1[[#This Row],[Importo in offerta]]-Tabella1[[#This Row],[Importo finale]]</f>
        <v>200</v>
      </c>
      <c r="J53" s="32"/>
    </row>
    <row r="54" spans="2:10">
      <c r="B54" s="21" t="s">
        <v>118</v>
      </c>
      <c r="D54">
        <v>2026</v>
      </c>
      <c r="E54" t="s">
        <v>74</v>
      </c>
      <c r="F54" t="s">
        <v>119</v>
      </c>
      <c r="G54" s="32" cm="1">
        <f t="array" ref="G54">SUMPRODUCT(('Budget Lines - Leonardo'!$F$2:$F$1526=Offers!B54)*('Budget Lines - Leonardo'!$G$2:$G$1526))</f>
        <v>0</v>
      </c>
      <c r="I54" s="32">
        <f>Tabella1[[#This Row],[Importo in offerta]]-Tabella1[[#This Row],[Importo finale]]</f>
        <v>0</v>
      </c>
      <c r="J54" s="32"/>
    </row>
    <row r="55" spans="2:10">
      <c r="B55" s="21" t="s">
        <v>120</v>
      </c>
      <c r="D55">
        <v>2026</v>
      </c>
      <c r="E55" t="s">
        <v>74</v>
      </c>
      <c r="F55" t="s">
        <v>121</v>
      </c>
      <c r="G55" s="32" cm="1">
        <f t="array" ref="G55">SUMPRODUCT(('Budget Lines - Leonardo'!$F$2:$F$1526=Offers!B55)*('Budget Lines - Leonardo'!$G$2:$G$1526))</f>
        <v>0</v>
      </c>
      <c r="I55" s="32">
        <f>Tabella1[[#This Row],[Importo in offerta]]-Tabella1[[#This Row],[Importo finale]]</f>
        <v>0</v>
      </c>
      <c r="J55" s="32"/>
    </row>
    <row r="56" spans="2:10">
      <c r="B56" s="21" t="s">
        <v>59</v>
      </c>
      <c r="D56">
        <v>2026</v>
      </c>
      <c r="E56" t="s">
        <v>74</v>
      </c>
      <c r="F56" t="s">
        <v>122</v>
      </c>
      <c r="G56" s="32" cm="1">
        <f t="array" ref="G56">SUMPRODUCT(('Budget Lines - Leonardo'!$F$2:$F$1526=Offers!B56)*('Budget Lines - Leonardo'!$G$2:$G$1526))</f>
        <v>0</v>
      </c>
      <c r="I56" s="32">
        <f>Tabella1[[#This Row],[Importo in offerta]]-Tabella1[[#This Row],[Importo finale]]</f>
        <v>0</v>
      </c>
      <c r="J56" s="32"/>
    </row>
    <row r="57" spans="2:10">
      <c r="B57" s="21" t="s">
        <v>61</v>
      </c>
      <c r="D57">
        <v>2026</v>
      </c>
      <c r="E57" t="s">
        <v>74</v>
      </c>
      <c r="F57" t="s">
        <v>123</v>
      </c>
      <c r="G57" s="32" cm="1">
        <f t="array" ref="G57">SUMPRODUCT(('Budget Lines - Leonardo'!$F$2:$F$1526=Offers!B57)*('Budget Lines - Leonardo'!$G$2:$G$1526))</f>
        <v>0</v>
      </c>
      <c r="I57" s="32">
        <f>Tabella1[[#This Row],[Importo in offerta]]-Tabella1[[#This Row],[Importo finale]]</f>
        <v>0</v>
      </c>
      <c r="J57" s="32"/>
    </row>
    <row r="58" spans="2:10">
      <c r="B58" s="21" t="s">
        <v>124</v>
      </c>
      <c r="D58">
        <v>2026</v>
      </c>
      <c r="E58" t="s">
        <v>74</v>
      </c>
      <c r="F58" t="s">
        <v>125</v>
      </c>
      <c r="G58" s="32" cm="1">
        <f t="array" ref="G58">SUMPRODUCT(('Budget Lines - Leonardo'!$F$2:$F$1526=Offers!B58)*('Budget Lines - Leonardo'!$G$2:$G$1526))</f>
        <v>0</v>
      </c>
      <c r="I58" s="32">
        <f>Tabella1[[#This Row],[Importo in offerta]]-Tabella1[[#This Row],[Importo finale]]</f>
        <v>0</v>
      </c>
      <c r="J58" s="32"/>
    </row>
    <row r="59" spans="2:10">
      <c r="B59" s="21" t="s">
        <v>126</v>
      </c>
      <c r="D59">
        <v>2026</v>
      </c>
      <c r="E59" t="s">
        <v>74</v>
      </c>
      <c r="F59" t="s">
        <v>127</v>
      </c>
      <c r="G59" s="32" cm="1">
        <f t="array" ref="G59">SUMPRODUCT(('Budget Lines - Leonardo'!$F$2:$F$1526=Offers!B59)*('Budget Lines - Leonardo'!$G$2:$G$1526))</f>
        <v>0</v>
      </c>
      <c r="I59" s="32">
        <f>Tabella1[[#This Row],[Importo in offerta]]-Tabella1[[#This Row],[Importo finale]]</f>
        <v>0</v>
      </c>
      <c r="J59" s="32"/>
    </row>
    <row r="60" spans="2:10">
      <c r="B60" s="21" t="s">
        <v>128</v>
      </c>
      <c r="D60">
        <v>2026</v>
      </c>
      <c r="E60" t="s">
        <v>74</v>
      </c>
      <c r="F60" t="s">
        <v>129</v>
      </c>
      <c r="G60" s="32" cm="1">
        <f t="array" ref="G60">SUMPRODUCT(('Budget Lines - Leonardo'!$F$2:$F$1526=Offers!B60)*('Budget Lines - Leonardo'!$G$2:$G$1526))</f>
        <v>0</v>
      </c>
      <c r="I60" s="32">
        <f>Tabella1[[#This Row],[Importo in offerta]]-Tabella1[[#This Row],[Importo finale]]</f>
        <v>0</v>
      </c>
      <c r="J60" s="32"/>
    </row>
    <row r="61" spans="2:10">
      <c r="B61" s="21" t="s">
        <v>130</v>
      </c>
      <c r="D61">
        <v>2026</v>
      </c>
      <c r="E61" t="s">
        <v>74</v>
      </c>
      <c r="F61" t="s">
        <v>131</v>
      </c>
      <c r="G61" s="32" cm="1">
        <f t="array" ref="G61">SUMPRODUCT(('Budget Lines - Leonardo'!$F$2:$F$1526=Offers!B61)*('Budget Lines - Leonardo'!$G$2:$G$1526))</f>
        <v>0</v>
      </c>
      <c r="I61" s="32">
        <f>Tabella1[[#This Row],[Importo in offerta]]-Tabella1[[#This Row],[Importo finale]]</f>
        <v>0</v>
      </c>
      <c r="J61" s="32"/>
    </row>
    <row r="62" spans="2:10">
      <c r="B62" s="21" t="s">
        <v>132</v>
      </c>
      <c r="D62">
        <v>2026</v>
      </c>
      <c r="E62" t="s">
        <v>74</v>
      </c>
      <c r="F62" t="s">
        <v>133</v>
      </c>
      <c r="G62" s="32" cm="1">
        <f t="array" ref="G62">SUMPRODUCT(('Budget Lines - Leonardo'!$F$2:$F$1526=Offers!B62)*('Budget Lines - Leonardo'!$G$2:$G$1526))</f>
        <v>0</v>
      </c>
      <c r="I62" s="32">
        <f>Tabella1[[#This Row],[Importo in offerta]]-Tabella1[[#This Row],[Importo finale]]</f>
        <v>0</v>
      </c>
      <c r="J62" s="32"/>
    </row>
    <row r="63" spans="2:10">
      <c r="B63" s="58" t="s">
        <v>134</v>
      </c>
      <c r="C63" t="s">
        <v>64</v>
      </c>
      <c r="D63">
        <v>2026</v>
      </c>
      <c r="E63" t="s">
        <v>74</v>
      </c>
      <c r="F63" s="57" t="s">
        <v>135</v>
      </c>
      <c r="G63" s="32" cm="1">
        <f t="array" ref="G63">SUMPRODUCT(('Budget Lines - Intranet'!$F$2:$F$1531=Offers!B63)*('Budget Lines - Intranet'!$G$2:$G$1531))</f>
        <v>5482.5</v>
      </c>
      <c r="H63" s="32">
        <v>5770</v>
      </c>
      <c r="I63" s="32">
        <f>Tabella1[[#This Row],[Importo in offerta]]-Tabella1[[#This Row],[Importo finale]]</f>
        <v>287.5</v>
      </c>
      <c r="J63" s="32"/>
    </row>
    <row r="64" spans="2:10">
      <c r="B64" t="s">
        <v>136</v>
      </c>
      <c r="C64" t="s">
        <v>102</v>
      </c>
      <c r="D64">
        <v>2026</v>
      </c>
      <c r="E64" t="s">
        <v>74</v>
      </c>
      <c r="F64" t="s">
        <v>137</v>
      </c>
      <c r="G64" s="32" cm="1">
        <f t="array" ref="G64">SUMPRODUCT(('Budget Lines - VIVA'!$F$2:$F$1536=Offers!B64)*('Budget Lines - VIVA'!$G$2:$G$1536))</f>
        <v>18705</v>
      </c>
      <c r="I64" s="32">
        <f>Tabella1[[#This Row],[Importo in offerta]]-Tabella1[[#This Row],[Importo finale]]</f>
        <v>-18705</v>
      </c>
      <c r="J64" s="32"/>
    </row>
    <row r="65" spans="2:10">
      <c r="B65" t="s">
        <v>138</v>
      </c>
      <c r="C65" t="s">
        <v>102</v>
      </c>
      <c r="D65">
        <v>2026</v>
      </c>
      <c r="E65" t="s">
        <v>74</v>
      </c>
      <c r="F65" t="s">
        <v>139</v>
      </c>
      <c r="G65" s="32" cm="1">
        <f t="array" ref="G65">SUMPRODUCT(('Budget Lines - VIVA'!$F$2:$F$1536=Offers!B65)*('Budget Lines - VIVA'!$G$2:$G$1536))</f>
        <v>40850</v>
      </c>
      <c r="I65" s="32">
        <f>Tabella1[[#This Row],[Importo in offerta]]-Tabella1[[#This Row],[Importo finale]]</f>
        <v>-40850</v>
      </c>
      <c r="J65" s="32"/>
    </row>
    <row r="66" spans="2:10">
      <c r="B66" t="s">
        <v>140</v>
      </c>
      <c r="C66" t="s">
        <v>102</v>
      </c>
      <c r="D66">
        <v>2026</v>
      </c>
      <c r="E66" t="s">
        <v>74</v>
      </c>
      <c r="F66" t="s">
        <v>141</v>
      </c>
      <c r="G66" s="32" cm="1">
        <f t="array" ref="G66">SUMPRODUCT(('Budget Lines - VIVA'!$F$2:$F$1536=Offers!B66)*('Budget Lines - VIVA'!$G$2:$G$1536))</f>
        <v>31175</v>
      </c>
      <c r="I66" s="32">
        <f>Tabella1[[#This Row],[Importo in offerta]]-Tabella1[[#This Row],[Importo finale]]</f>
        <v>-31175</v>
      </c>
      <c r="J66" s="32"/>
    </row>
    <row r="67" spans="2:10">
      <c r="B67" t="s">
        <v>142</v>
      </c>
      <c r="C67" t="s">
        <v>102</v>
      </c>
      <c r="D67">
        <v>2026</v>
      </c>
      <c r="E67" t="s">
        <v>74</v>
      </c>
      <c r="F67" t="s">
        <v>143</v>
      </c>
      <c r="G67" s="32" cm="1">
        <f t="array" ref="G67">SUMPRODUCT(('Budget Lines - VIVA'!$F$2:$F$1536=Offers!B67)*('Budget Lines - VIVA'!$G$2:$G$1536))</f>
        <v>29885</v>
      </c>
      <c r="I67" s="32">
        <f>Tabella1[[#This Row],[Importo in offerta]]-Tabella1[[#This Row],[Importo finale]]</f>
        <v>-29885</v>
      </c>
      <c r="J67" s="32"/>
    </row>
    <row r="68" spans="2:10">
      <c r="B68" s="59" t="s">
        <v>144</v>
      </c>
      <c r="C68" t="s">
        <v>102</v>
      </c>
      <c r="D68">
        <v>2026</v>
      </c>
      <c r="E68" t="s">
        <v>74</v>
      </c>
      <c r="F68" t="s">
        <v>145</v>
      </c>
      <c r="G68" s="32" cm="1">
        <f t="array" ref="G68">SUMPRODUCT(('Budget Lines - VIVA'!$F$2:$F$1536=Offers!B68)*('Budget Lines - VIVA'!$G$2:$G$1536))</f>
        <v>29670</v>
      </c>
      <c r="I68" s="32">
        <f>Tabella1[[#This Row],[Importo in offerta]]-Tabella1[[#This Row],[Importo finale]]</f>
        <v>-29670</v>
      </c>
      <c r="J68" s="32"/>
    </row>
    <row r="69" spans="2:10">
      <c r="B69" t="s">
        <v>146</v>
      </c>
      <c r="C69" t="s">
        <v>102</v>
      </c>
      <c r="D69">
        <v>2026</v>
      </c>
      <c r="E69" t="s">
        <v>147</v>
      </c>
      <c r="G69" s="32" cm="1">
        <f t="array" ref="G69">SUMPRODUCT(('Budget Lines - VIVA'!$F$2:$F$1536=Offers!B69)*('Budget Lines - VIVA'!$G$2:$G$1536))</f>
        <v>12500</v>
      </c>
      <c r="I69" s="32">
        <f>Tabella1[[#This Row],[Importo in offerta]]-Tabella1[[#This Row],[Importo finale]]</f>
        <v>-12500</v>
      </c>
      <c r="J69" s="32"/>
    </row>
    <row r="70" spans="2:10">
      <c r="B70" t="s">
        <v>148</v>
      </c>
      <c r="C70" t="s">
        <v>102</v>
      </c>
      <c r="D70">
        <v>2026</v>
      </c>
      <c r="E70" t="s">
        <v>147</v>
      </c>
      <c r="G70" s="32" cm="1">
        <f t="array" ref="G70">SUMPRODUCT(('Budget Lines - VIVA'!$F$2:$F$1536=Offers!B70)*('Budget Lines - VIVA'!$G$2:$G$1536))</f>
        <v>15480</v>
      </c>
      <c r="I70" s="32">
        <f>Tabella1[[#This Row],[Importo in offerta]]-Tabella1[[#This Row],[Importo finale]]</f>
        <v>-15480</v>
      </c>
      <c r="J70" s="32"/>
    </row>
    <row r="71" spans="2:10">
      <c r="B71" t="s">
        <v>149</v>
      </c>
      <c r="C71" t="s">
        <v>102</v>
      </c>
      <c r="D71">
        <v>2026</v>
      </c>
      <c r="E71" t="s">
        <v>147</v>
      </c>
      <c r="G71" s="32" cm="1">
        <f t="array" ref="G71">SUMPRODUCT(('Budget Lines - VIVA'!$F$2:$F$1536=Offers!B71)*('Budget Lines - VIVA'!$G$2:$G$1536))</f>
        <v>22500</v>
      </c>
      <c r="I71" s="32">
        <f>Tabella1[[#This Row],[Importo in offerta]]-Tabella1[[#This Row],[Importo finale]]</f>
        <v>-22500</v>
      </c>
      <c r="J71" s="32"/>
    </row>
    <row r="72" spans="2:10">
      <c r="B72" s="28" t="s">
        <v>150</v>
      </c>
      <c r="C72" t="s">
        <v>102</v>
      </c>
      <c r="D72">
        <v>2026</v>
      </c>
      <c r="E72" t="s">
        <v>147</v>
      </c>
      <c r="G72" s="32" cm="1">
        <f t="array" ref="G72">SUMPRODUCT(('Budget Lines - VIVA'!$F$2:$F$1536=Offers!B72)*('Budget Lines - VIVA'!$G$2:$G$1536))</f>
        <v>22500</v>
      </c>
      <c r="I72" s="32">
        <f>Tabella1[[#This Row],[Importo in offerta]]-Tabella1[[#This Row],[Importo finale]]</f>
        <v>-22500</v>
      </c>
      <c r="J72" s="32"/>
    </row>
    <row r="73" spans="2:10">
      <c r="B73" t="s">
        <v>151</v>
      </c>
      <c r="C73" t="s">
        <v>102</v>
      </c>
      <c r="D73">
        <v>2026</v>
      </c>
      <c r="E73" t="s">
        <v>147</v>
      </c>
      <c r="G73" s="32" cm="1">
        <f t="array" ref="G73">SUMPRODUCT(('Budget Lines - VIVA'!$F$2:$F$1536=Offers!B73)*('Budget Lines - VIVA'!$G$2:$G$1536))</f>
        <v>30000</v>
      </c>
      <c r="I73" s="32">
        <f>Tabella1[[#This Row],[Importo in offerta]]-Tabella1[[#This Row],[Importo finale]]</f>
        <v>-30000</v>
      </c>
      <c r="J73" s="32"/>
    </row>
    <row r="74" spans="2:10">
      <c r="B74" t="s">
        <v>152</v>
      </c>
      <c r="C74" t="s">
        <v>89</v>
      </c>
      <c r="D74">
        <v>2026</v>
      </c>
      <c r="E74" t="s">
        <v>74</v>
      </c>
      <c r="F74" s="60" t="s">
        <v>153</v>
      </c>
      <c r="G74" s="32" cm="1">
        <f t="array" ref="G74">SUMPRODUCT(('Budget Lines - Leonardo'!$F$2:$F$1526=Offers!B74)*('Budget Lines - Leonardo'!$G$2:$G$1526))</f>
        <v>0</v>
      </c>
      <c r="I74" s="32">
        <f>Tabella1[[#This Row],[Importo in offerta]]-Tabella1[[#This Row],[Importo finale]]</f>
        <v>0</v>
      </c>
      <c r="J74" s="32"/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285148F-DB5E-4FEE-9694-7DBBC5598CE6}">
          <x14:formula1>
            <xm:f>Dati!$B$2:$B$10</xm:f>
          </x14:formula1>
          <xm:sqref>E2:E1048576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9D7B4-C6C2-47C1-BE29-D501A49A0162}">
  <sheetPr>
    <tabColor theme="8" tint="0.59999389629810485"/>
  </sheetPr>
  <dimension ref="A1:U79"/>
  <sheetViews>
    <sheetView workbookViewId="0">
      <pane ySplit="1" topLeftCell="A41" activePane="bottomLeft" state="frozen"/>
      <selection pane="bottomLeft" activeCell="L63" sqref="L63"/>
    </sheetView>
  </sheetViews>
  <sheetFormatPr defaultRowHeight="15"/>
  <cols>
    <col min="2" max="2" width="46.42578125" style="28" customWidth="1"/>
    <col min="3" max="3" width="14" bestFit="1" customWidth="1"/>
    <col min="5" max="5" width="13.42578125" bestFit="1" customWidth="1"/>
    <col min="6" max="6" width="14" customWidth="1"/>
    <col min="7" max="7" width="9.140625" customWidth="1"/>
    <col min="8" max="8" width="32.7109375" customWidth="1"/>
    <col min="9" max="9" width="13.42578125" bestFit="1" customWidth="1"/>
    <col min="10" max="10" width="17.85546875" bestFit="1" customWidth="1"/>
    <col min="11" max="11" width="11" bestFit="1" customWidth="1"/>
    <col min="12" max="12" width="13.42578125" bestFit="1" customWidth="1"/>
    <col min="13" max="14" width="12.140625" bestFit="1" customWidth="1"/>
    <col min="16" max="16" width="14.85546875" bestFit="1" customWidth="1"/>
    <col min="17" max="17" width="12.140625" bestFit="1" customWidth="1"/>
    <col min="18" max="18" width="17.42578125" bestFit="1" customWidth="1"/>
  </cols>
  <sheetData>
    <row r="1" spans="1:21" s="7" customFormat="1">
      <c r="A1" s="1" t="s">
        <v>0</v>
      </c>
      <c r="B1" s="27" t="s">
        <v>154</v>
      </c>
      <c r="C1" s="2" t="s">
        <v>155</v>
      </c>
      <c r="D1" s="2" t="s">
        <v>156</v>
      </c>
      <c r="E1" s="3" t="s">
        <v>157</v>
      </c>
      <c r="F1" s="3" t="s">
        <v>158</v>
      </c>
      <c r="G1" s="3" t="s">
        <v>159</v>
      </c>
      <c r="H1" s="3" t="s">
        <v>4</v>
      </c>
      <c r="I1" s="4" t="s">
        <v>160</v>
      </c>
      <c r="J1" s="4" t="s">
        <v>161</v>
      </c>
      <c r="K1" s="5" t="s">
        <v>162</v>
      </c>
      <c r="L1" s="4" t="s">
        <v>163</v>
      </c>
      <c r="M1" s="4" t="s">
        <v>164</v>
      </c>
      <c r="N1" s="4" t="s">
        <v>165</v>
      </c>
      <c r="O1" s="4" t="s">
        <v>166</v>
      </c>
      <c r="P1" s="4" t="s">
        <v>167</v>
      </c>
      <c r="Q1" s="4" t="s">
        <v>168</v>
      </c>
      <c r="R1" s="6" t="s">
        <v>169</v>
      </c>
      <c r="S1" s="7" t="s">
        <v>170</v>
      </c>
    </row>
    <row r="2" spans="1:21">
      <c r="A2" s="8"/>
      <c r="B2" s="12" t="s">
        <v>171</v>
      </c>
      <c r="C2" s="13">
        <v>45413</v>
      </c>
      <c r="D2" s="13">
        <v>45536</v>
      </c>
      <c r="E2" s="14" t="s">
        <v>172</v>
      </c>
      <c r="F2" s="14" t="s">
        <v>13</v>
      </c>
      <c r="G2" s="14" t="s">
        <v>173</v>
      </c>
      <c r="H2" s="14" t="s">
        <v>174</v>
      </c>
      <c r="I2" s="9">
        <f>SUM(L2:P2)</f>
        <v>6450</v>
      </c>
      <c r="J2" s="9"/>
      <c r="K2" s="10"/>
      <c r="L2" s="9">
        <f>15*430</f>
        <v>6450</v>
      </c>
      <c r="M2" s="9"/>
      <c r="N2" s="9"/>
      <c r="O2" s="9"/>
      <c r="P2" s="9"/>
      <c r="Q2" s="9"/>
      <c r="R2" s="15" t="s">
        <v>175</v>
      </c>
      <c r="S2" s="8"/>
      <c r="T2" s="8"/>
      <c r="U2" s="8"/>
    </row>
    <row r="3" spans="1:21">
      <c r="B3" s="12" t="s">
        <v>176</v>
      </c>
      <c r="C3" s="13">
        <v>45474</v>
      </c>
      <c r="D3" s="13" t="s">
        <v>177</v>
      </c>
      <c r="E3" s="14" t="s">
        <v>172</v>
      </c>
      <c r="F3" s="14" t="s">
        <v>13</v>
      </c>
      <c r="G3" s="14" t="s">
        <v>173</v>
      </c>
      <c r="H3" s="14" t="s">
        <v>174</v>
      </c>
      <c r="I3" s="9">
        <f>SUM(L3:P3)</f>
        <v>24940</v>
      </c>
      <c r="J3" s="9"/>
      <c r="K3" s="10"/>
      <c r="L3" s="9">
        <f>52*430</f>
        <v>22360</v>
      </c>
      <c r="M3" s="9">
        <f>6*430</f>
        <v>2580</v>
      </c>
      <c r="N3" s="9"/>
      <c r="O3" s="9"/>
      <c r="P3" s="9"/>
      <c r="Q3" s="9"/>
      <c r="R3" s="15" t="s">
        <v>178</v>
      </c>
      <c r="S3" s="8"/>
      <c r="T3" s="8"/>
      <c r="U3" s="8"/>
    </row>
    <row r="4" spans="1:21">
      <c r="B4" s="12" t="s">
        <v>179</v>
      </c>
      <c r="C4" s="13">
        <v>45627</v>
      </c>
      <c r="D4" s="14"/>
      <c r="E4" s="14" t="s">
        <v>172</v>
      </c>
      <c r="F4" s="14" t="s">
        <v>13</v>
      </c>
      <c r="G4" s="14" t="s">
        <v>180</v>
      </c>
      <c r="H4" s="14" t="s">
        <v>174</v>
      </c>
      <c r="I4" s="9">
        <f>SUM(L4:Q4)</f>
        <v>14190</v>
      </c>
      <c r="J4" s="9"/>
      <c r="K4" s="10"/>
      <c r="L4" s="9">
        <f>8*430</f>
        <v>3440</v>
      </c>
      <c r="M4" s="9"/>
      <c r="N4" s="9"/>
      <c r="O4" s="9"/>
      <c r="P4" s="9"/>
      <c r="Q4" s="9">
        <f>25*430</f>
        <v>10750</v>
      </c>
      <c r="R4" s="15" t="s">
        <v>181</v>
      </c>
      <c r="S4" s="8"/>
      <c r="T4" s="8"/>
      <c r="U4" s="8"/>
    </row>
    <row r="5" spans="1:21">
      <c r="B5" s="12" t="s">
        <v>182</v>
      </c>
      <c r="C5" s="13">
        <v>45566</v>
      </c>
      <c r="D5" s="13">
        <v>45597</v>
      </c>
      <c r="E5" s="14" t="s">
        <v>172</v>
      </c>
      <c r="F5" s="14" t="s">
        <v>15</v>
      </c>
      <c r="G5" s="14" t="s">
        <v>173</v>
      </c>
      <c r="H5" s="14" t="s">
        <v>174</v>
      </c>
      <c r="I5" s="9">
        <f>430*7</f>
        <v>3010</v>
      </c>
      <c r="J5" s="9"/>
      <c r="K5" s="10"/>
      <c r="L5" s="9">
        <f>I5-M5</f>
        <v>2365</v>
      </c>
      <c r="M5" s="16">
        <v>645</v>
      </c>
      <c r="N5" s="9"/>
      <c r="O5" s="9"/>
      <c r="P5" s="9"/>
      <c r="Q5" s="9"/>
      <c r="R5" s="17" t="s">
        <v>183</v>
      </c>
      <c r="S5" s="8"/>
      <c r="T5" s="8"/>
      <c r="U5" s="8"/>
    </row>
    <row r="6" spans="1:21">
      <c r="B6" s="12" t="s">
        <v>14</v>
      </c>
      <c r="C6" s="13">
        <v>45566</v>
      </c>
      <c r="D6" s="13">
        <v>45689</v>
      </c>
      <c r="E6" s="14" t="s">
        <v>172</v>
      </c>
      <c r="F6" s="14" t="s">
        <v>15</v>
      </c>
      <c r="G6" s="14" t="s">
        <v>173</v>
      </c>
      <c r="H6" s="14" t="s">
        <v>174</v>
      </c>
      <c r="I6" s="9">
        <f>SUM(L6:Q6)</f>
        <v>22145</v>
      </c>
      <c r="J6" s="9"/>
      <c r="K6" s="10"/>
      <c r="L6" s="18">
        <f>51.5*430-1500</f>
        <v>20645</v>
      </c>
      <c r="M6" s="9"/>
      <c r="N6" s="9"/>
      <c r="O6" s="9"/>
      <c r="P6" s="9"/>
      <c r="Q6" s="9">
        <v>1500</v>
      </c>
      <c r="R6" s="11" t="s">
        <v>184</v>
      </c>
      <c r="S6" s="19" t="s">
        <v>185</v>
      </c>
      <c r="T6" s="8"/>
      <c r="U6" s="8"/>
    </row>
    <row r="7" spans="1:21">
      <c r="B7" s="12" t="s">
        <v>186</v>
      </c>
      <c r="C7" s="13">
        <v>45566</v>
      </c>
      <c r="D7" s="13" t="s">
        <v>177</v>
      </c>
      <c r="E7" s="14" t="s">
        <v>172</v>
      </c>
      <c r="F7" s="14" t="s">
        <v>15</v>
      </c>
      <c r="G7" s="14" t="s">
        <v>173</v>
      </c>
      <c r="H7" s="14" t="s">
        <v>174</v>
      </c>
      <c r="I7" s="9">
        <v>2800</v>
      </c>
      <c r="J7" s="9"/>
      <c r="K7" s="10"/>
      <c r="L7" s="18">
        <f>1500+50</f>
        <v>1550</v>
      </c>
      <c r="M7" s="16">
        <v>700</v>
      </c>
      <c r="N7" s="9"/>
      <c r="O7" s="9"/>
      <c r="P7" s="9"/>
      <c r="Q7" s="18">
        <v>550</v>
      </c>
      <c r="R7" s="8"/>
      <c r="S7" s="8"/>
      <c r="T7" s="8"/>
      <c r="U7" s="8"/>
    </row>
    <row r="8" spans="1:21">
      <c r="B8" s="12" t="s">
        <v>187</v>
      </c>
      <c r="C8" s="13">
        <v>45597</v>
      </c>
      <c r="D8" s="13">
        <v>45627</v>
      </c>
      <c r="E8" s="14" t="s">
        <v>172</v>
      </c>
      <c r="F8" s="14" t="s">
        <v>15</v>
      </c>
      <c r="G8" s="14" t="s">
        <v>173</v>
      </c>
      <c r="H8" s="14" t="s">
        <v>174</v>
      </c>
      <c r="I8" s="9">
        <f>SUM(L8:Q8)</f>
        <v>4730</v>
      </c>
      <c r="J8" s="9"/>
      <c r="K8" s="10"/>
      <c r="L8" s="9">
        <f>6*430+150</f>
        <v>2730</v>
      </c>
      <c r="M8" s="9"/>
      <c r="N8" s="9"/>
      <c r="O8" s="9"/>
      <c r="P8" s="9"/>
      <c r="Q8" s="9">
        <v>2000</v>
      </c>
      <c r="R8" s="11" t="s">
        <v>188</v>
      </c>
      <c r="S8" s="8"/>
      <c r="T8" s="8"/>
      <c r="U8" s="8"/>
    </row>
    <row r="9" spans="1:21">
      <c r="B9" s="12" t="s">
        <v>189</v>
      </c>
      <c r="C9" s="20">
        <v>45292</v>
      </c>
      <c r="D9" s="20"/>
      <c r="E9" s="8" t="s">
        <v>172</v>
      </c>
      <c r="F9" s="14" t="s">
        <v>17</v>
      </c>
      <c r="G9" s="8" t="s">
        <v>180</v>
      </c>
      <c r="H9" s="12" t="s">
        <v>190</v>
      </c>
      <c r="I9" s="9">
        <v>28230</v>
      </c>
      <c r="J9" s="9"/>
      <c r="K9" s="10"/>
      <c r="L9" s="9">
        <v>20000</v>
      </c>
      <c r="M9" s="16">
        <v>8230</v>
      </c>
      <c r="N9" s="9"/>
      <c r="O9" s="9"/>
      <c r="P9" s="9"/>
      <c r="Q9" s="9"/>
      <c r="R9" s="11" t="s">
        <v>191</v>
      </c>
      <c r="S9" s="8"/>
      <c r="T9" s="8"/>
      <c r="U9" s="8"/>
    </row>
    <row r="10" spans="1:21">
      <c r="B10" s="12" t="s">
        <v>192</v>
      </c>
      <c r="C10" s="13">
        <v>45474</v>
      </c>
      <c r="D10" s="13">
        <v>45597</v>
      </c>
      <c r="E10" s="14" t="s">
        <v>172</v>
      </c>
      <c r="F10" s="14" t="s">
        <v>17</v>
      </c>
      <c r="G10" s="14" t="s">
        <v>173</v>
      </c>
      <c r="H10" s="22" t="s">
        <v>190</v>
      </c>
      <c r="I10" s="9">
        <f>SUM(L10:P10)</f>
        <v>11180</v>
      </c>
      <c r="J10" s="9"/>
      <c r="K10" s="10"/>
      <c r="L10" s="9" t="s">
        <v>193</v>
      </c>
      <c r="M10" s="9"/>
      <c r="N10" s="9">
        <v>11180</v>
      </c>
      <c r="O10" s="9"/>
      <c r="P10" s="9"/>
      <c r="Q10" s="9"/>
      <c r="R10" s="17" t="s">
        <v>194</v>
      </c>
      <c r="S10" s="8"/>
      <c r="T10" s="8"/>
      <c r="U10" s="8"/>
    </row>
    <row r="11" spans="1:21">
      <c r="B11" s="12" t="s">
        <v>195</v>
      </c>
      <c r="C11" s="13">
        <v>45597</v>
      </c>
      <c r="D11" s="13">
        <v>45627</v>
      </c>
      <c r="E11" s="14" t="s">
        <v>172</v>
      </c>
      <c r="F11" s="14" t="s">
        <v>17</v>
      </c>
      <c r="G11" s="14" t="s">
        <v>173</v>
      </c>
      <c r="H11" s="14" t="s">
        <v>190</v>
      </c>
      <c r="I11" s="9">
        <f>SUM(L11:P11)</f>
        <v>2150</v>
      </c>
      <c r="J11" s="9"/>
      <c r="K11" s="10"/>
      <c r="L11" s="9"/>
      <c r="M11" s="9"/>
      <c r="N11" s="9">
        <f>5*430</f>
        <v>2150</v>
      </c>
      <c r="O11" s="9"/>
      <c r="P11" s="9"/>
      <c r="Q11" s="9"/>
      <c r="R11" s="11" t="s">
        <v>196</v>
      </c>
      <c r="S11" s="8"/>
      <c r="T11" s="8"/>
      <c r="U11" s="8"/>
    </row>
    <row r="12" spans="1:21">
      <c r="B12" s="12" t="s">
        <v>18</v>
      </c>
      <c r="C12" s="13">
        <v>45536</v>
      </c>
      <c r="D12" s="13">
        <v>45717</v>
      </c>
      <c r="E12" s="14" t="s">
        <v>172</v>
      </c>
      <c r="F12" s="14" t="s">
        <v>19</v>
      </c>
      <c r="G12" s="14" t="s">
        <v>173</v>
      </c>
      <c r="H12" s="22" t="s">
        <v>197</v>
      </c>
      <c r="I12" s="9">
        <f>SUM(L12:P12)</f>
        <v>15050</v>
      </c>
      <c r="J12" s="9"/>
      <c r="K12" s="10"/>
      <c r="L12" s="9">
        <f>16*430</f>
        <v>6880</v>
      </c>
      <c r="M12" s="23">
        <f>19*430</f>
        <v>8170</v>
      </c>
      <c r="N12" s="9"/>
      <c r="O12" s="9"/>
      <c r="P12" s="9"/>
      <c r="Q12" s="9"/>
      <c r="R12" s="17" t="s">
        <v>198</v>
      </c>
      <c r="S12" s="8"/>
      <c r="T12" s="8"/>
      <c r="U12" s="8"/>
    </row>
    <row r="13" spans="1:21">
      <c r="B13" s="12" t="s">
        <v>199</v>
      </c>
      <c r="C13" s="13">
        <v>45658</v>
      </c>
      <c r="D13" s="13">
        <v>45717</v>
      </c>
      <c r="E13" s="14" t="s">
        <v>172</v>
      </c>
      <c r="F13" s="14" t="s">
        <v>21</v>
      </c>
      <c r="G13" s="14" t="s">
        <v>173</v>
      </c>
      <c r="H13" s="22" t="s">
        <v>174</v>
      </c>
      <c r="I13" s="9">
        <f>SUM(L13:Q13)</f>
        <v>8385</v>
      </c>
      <c r="J13" s="9"/>
      <c r="K13" s="10"/>
      <c r="L13" s="9">
        <f>2*430 + 2*430</f>
        <v>1720</v>
      </c>
      <c r="M13" s="9"/>
      <c r="N13" s="9"/>
      <c r="O13" s="9"/>
      <c r="P13" s="9"/>
      <c r="Q13" s="9">
        <f>15.5*430</f>
        <v>6665</v>
      </c>
      <c r="R13" s="17" t="s">
        <v>200</v>
      </c>
      <c r="S13" s="8"/>
      <c r="T13" s="8"/>
      <c r="U13" s="8"/>
    </row>
    <row r="14" spans="1:21">
      <c r="B14" s="12" t="s">
        <v>201</v>
      </c>
      <c r="C14" s="13">
        <v>45658</v>
      </c>
      <c r="D14" s="13">
        <v>45717</v>
      </c>
      <c r="E14" s="14" t="s">
        <v>172</v>
      </c>
      <c r="F14" s="14" t="s">
        <v>21</v>
      </c>
      <c r="G14" s="14" t="s">
        <v>173</v>
      </c>
      <c r="H14" s="22" t="s">
        <v>174</v>
      </c>
      <c r="I14" s="9">
        <f>SUM(L14:Q14)</f>
        <v>8600</v>
      </c>
      <c r="J14" s="9"/>
      <c r="K14" s="10"/>
      <c r="L14" s="9">
        <f>20*430</f>
        <v>8600</v>
      </c>
      <c r="M14" s="9"/>
      <c r="N14" s="9"/>
      <c r="O14" s="9"/>
      <c r="P14" s="9"/>
      <c r="Q14" s="9"/>
      <c r="R14" s="17" t="s">
        <v>202</v>
      </c>
      <c r="S14" s="8"/>
      <c r="T14" s="8"/>
      <c r="U14" s="8"/>
    </row>
    <row r="15" spans="1:21">
      <c r="B15" s="12" t="s">
        <v>203</v>
      </c>
      <c r="C15" s="13">
        <v>45627</v>
      </c>
      <c r="D15" s="13">
        <v>45717</v>
      </c>
      <c r="E15" s="14" t="s">
        <v>172</v>
      </c>
      <c r="F15" s="14" t="s">
        <v>23</v>
      </c>
      <c r="G15" s="14" t="s">
        <v>173</v>
      </c>
      <c r="H15" s="22" t="s">
        <v>174</v>
      </c>
      <c r="I15" s="9">
        <f>SUM(L15:P15)</f>
        <v>4730</v>
      </c>
      <c r="J15" s="9"/>
      <c r="K15" s="10"/>
      <c r="L15" s="9">
        <f>1*430</f>
        <v>430</v>
      </c>
      <c r="M15" s="9"/>
      <c r="N15" s="9">
        <f>10*430</f>
        <v>4300</v>
      </c>
      <c r="O15" s="9"/>
      <c r="P15" s="9"/>
      <c r="Q15" s="9"/>
      <c r="R15" s="17" t="s">
        <v>204</v>
      </c>
      <c r="S15" s="8"/>
      <c r="T15" s="8"/>
      <c r="U15" s="8"/>
    </row>
    <row r="16" spans="1:21">
      <c r="B16" s="12" t="s">
        <v>205</v>
      </c>
      <c r="C16" s="13">
        <v>45658</v>
      </c>
      <c r="D16" s="13">
        <v>45717</v>
      </c>
      <c r="E16" s="14" t="s">
        <v>172</v>
      </c>
      <c r="F16" s="14" t="s">
        <v>23</v>
      </c>
      <c r="G16" s="14" t="s">
        <v>173</v>
      </c>
      <c r="H16" s="22" t="s">
        <v>174</v>
      </c>
      <c r="I16" s="9">
        <f>SUM(L16:Q16)</f>
        <v>24710</v>
      </c>
      <c r="J16" s="9"/>
      <c r="K16" s="10"/>
      <c r="L16" s="9">
        <f>(8+3)*430</f>
        <v>4730</v>
      </c>
      <c r="M16" s="23">
        <f>23*420</f>
        <v>9660</v>
      </c>
      <c r="N16" s="9">
        <f>24*430</f>
        <v>10320</v>
      </c>
      <c r="O16" s="9"/>
      <c r="P16" s="9"/>
      <c r="Q16" s="9"/>
      <c r="R16" s="17" t="s">
        <v>206</v>
      </c>
      <c r="S16" s="8"/>
      <c r="T16" s="8"/>
      <c r="U16" s="8"/>
    </row>
    <row r="17" spans="2:21">
      <c r="B17" s="12" t="s">
        <v>207</v>
      </c>
      <c r="C17" s="13">
        <v>45474</v>
      </c>
      <c r="D17" s="13">
        <v>45717</v>
      </c>
      <c r="E17" s="14" t="s">
        <v>172</v>
      </c>
      <c r="F17" s="14" t="s">
        <v>208</v>
      </c>
      <c r="G17" s="14" t="s">
        <v>173</v>
      </c>
      <c r="H17" s="14" t="s">
        <v>174</v>
      </c>
      <c r="I17" s="9">
        <v>37410</v>
      </c>
      <c r="J17" s="9"/>
      <c r="K17" s="10"/>
      <c r="L17" s="9">
        <f>(27+24.5)*430</f>
        <v>22145</v>
      </c>
      <c r="M17" s="24">
        <f>I17-L17</f>
        <v>15265</v>
      </c>
      <c r="N17" s="9"/>
      <c r="O17" s="9"/>
      <c r="P17" s="9"/>
      <c r="Q17" s="9"/>
      <c r="R17" s="17" t="s">
        <v>209</v>
      </c>
      <c r="S17" s="8"/>
      <c r="T17" s="8"/>
      <c r="U17" s="8"/>
    </row>
    <row r="18" spans="2:21">
      <c r="B18" s="12" t="s">
        <v>210</v>
      </c>
      <c r="C18" s="13">
        <v>45474</v>
      </c>
      <c r="D18" s="13">
        <v>45717</v>
      </c>
      <c r="E18" s="14" t="s">
        <v>172</v>
      </c>
      <c r="F18" s="14" t="s">
        <v>25</v>
      </c>
      <c r="G18" s="14" t="s">
        <v>173</v>
      </c>
      <c r="H18" s="22" t="s">
        <v>197</v>
      </c>
      <c r="I18" s="9">
        <v>7310</v>
      </c>
      <c r="J18" s="9"/>
      <c r="K18" s="10"/>
      <c r="L18" s="9"/>
      <c r="M18" s="24">
        <v>7310</v>
      </c>
      <c r="N18" s="9"/>
      <c r="O18" s="9"/>
      <c r="P18" s="9"/>
      <c r="Q18" s="9"/>
      <c r="R18" s="17" t="s">
        <v>209</v>
      </c>
      <c r="S18" s="8"/>
      <c r="T18" s="8"/>
      <c r="U18" s="8"/>
    </row>
    <row r="19" spans="2:21">
      <c r="B19" s="12" t="s">
        <v>211</v>
      </c>
      <c r="C19" s="13">
        <v>45444</v>
      </c>
      <c r="D19" s="13">
        <v>45689</v>
      </c>
      <c r="E19" s="14" t="s">
        <v>172</v>
      </c>
      <c r="F19" s="14" t="s">
        <v>27</v>
      </c>
      <c r="G19" s="14" t="s">
        <v>173</v>
      </c>
      <c r="H19" s="22" t="s">
        <v>197</v>
      </c>
      <c r="I19" s="9">
        <f>SUM(L19:P19)</f>
        <v>66970</v>
      </c>
      <c r="J19" s="9"/>
      <c r="K19" s="10"/>
      <c r="L19" s="9">
        <f>104*430-10000</f>
        <v>34720</v>
      </c>
      <c r="M19" s="16">
        <v>32250</v>
      </c>
      <c r="N19" s="9"/>
      <c r="O19" s="9"/>
      <c r="P19" s="9"/>
      <c r="Q19" s="9"/>
      <c r="R19" s="11" t="s">
        <v>212</v>
      </c>
      <c r="S19" s="8"/>
      <c r="T19" s="8"/>
      <c r="U19" s="8"/>
    </row>
    <row r="20" spans="2:21">
      <c r="B20" s="12" t="s">
        <v>213</v>
      </c>
      <c r="C20" s="13">
        <v>45597</v>
      </c>
      <c r="D20" s="13">
        <v>45658</v>
      </c>
      <c r="E20" s="14" t="s">
        <v>172</v>
      </c>
      <c r="F20" s="14" t="s">
        <v>29</v>
      </c>
      <c r="G20" s="14" t="s">
        <v>173</v>
      </c>
      <c r="H20" s="22" t="s">
        <v>197</v>
      </c>
      <c r="I20" s="9">
        <f>SUM(L20:P20)</f>
        <v>24940</v>
      </c>
      <c r="J20" s="9"/>
      <c r="K20" s="10"/>
      <c r="L20" s="9">
        <f>45.5*430</f>
        <v>19565</v>
      </c>
      <c r="M20" s="23">
        <f>12.5*430</f>
        <v>5375</v>
      </c>
      <c r="N20" s="9"/>
      <c r="O20" s="9"/>
      <c r="P20" s="9"/>
      <c r="Q20" s="9"/>
      <c r="R20" s="11" t="s">
        <v>214</v>
      </c>
      <c r="S20" s="8"/>
      <c r="T20" s="8"/>
      <c r="U20" s="25"/>
    </row>
    <row r="21" spans="2:21">
      <c r="B21" s="12" t="s">
        <v>215</v>
      </c>
      <c r="C21" s="13">
        <v>45444</v>
      </c>
      <c r="D21" s="13">
        <v>45717</v>
      </c>
      <c r="E21" s="14" t="s">
        <v>172</v>
      </c>
      <c r="F21" s="14" t="s">
        <v>31</v>
      </c>
      <c r="G21" s="14" t="s">
        <v>173</v>
      </c>
      <c r="H21" s="14" t="s">
        <v>216</v>
      </c>
      <c r="I21" s="9">
        <f>SUM(L21:P21)</f>
        <v>47300</v>
      </c>
      <c r="J21" s="9"/>
      <c r="K21" s="10"/>
      <c r="L21" s="9">
        <f>(24+37.5)*430</f>
        <v>26445</v>
      </c>
      <c r="M21" s="16">
        <v>20855</v>
      </c>
      <c r="N21" s="9"/>
      <c r="O21" s="9"/>
      <c r="P21" s="9"/>
      <c r="Q21" s="9"/>
      <c r="R21" s="17" t="s">
        <v>217</v>
      </c>
      <c r="S21" s="8"/>
      <c r="T21" s="8"/>
      <c r="U21" s="8"/>
    </row>
    <row r="22" spans="2:21">
      <c r="B22" s="12" t="s">
        <v>218</v>
      </c>
      <c r="C22" s="13">
        <v>45474</v>
      </c>
      <c r="D22" s="13">
        <v>45748</v>
      </c>
      <c r="E22" s="14" t="s">
        <v>172</v>
      </c>
      <c r="F22" s="14" t="s">
        <v>33</v>
      </c>
      <c r="G22" s="14" t="s">
        <v>173</v>
      </c>
      <c r="H22" s="14" t="s">
        <v>216</v>
      </c>
      <c r="I22" s="9">
        <f>SUM(L22:Q22)</f>
        <v>66220</v>
      </c>
      <c r="J22" s="9"/>
      <c r="K22" s="10"/>
      <c r="L22" s="9">
        <f>139*430</f>
        <v>59770</v>
      </c>
      <c r="M22" s="9"/>
      <c r="N22" s="9"/>
      <c r="O22" s="9"/>
      <c r="P22" s="9"/>
      <c r="Q22" s="9">
        <f>15*430</f>
        <v>6450</v>
      </c>
      <c r="R22" s="11" t="s">
        <v>219</v>
      </c>
      <c r="S22" s="8"/>
      <c r="T22" s="8"/>
      <c r="U22" s="8"/>
    </row>
    <row r="23" spans="2:21">
      <c r="B23" s="12" t="s">
        <v>220</v>
      </c>
      <c r="C23" s="13">
        <v>45627</v>
      </c>
      <c r="D23" s="13">
        <v>45689</v>
      </c>
      <c r="E23" s="14" t="s">
        <v>172</v>
      </c>
      <c r="F23" s="14" t="s">
        <v>35</v>
      </c>
      <c r="G23" s="14" t="s">
        <v>173</v>
      </c>
      <c r="H23" s="14" t="s">
        <v>190</v>
      </c>
      <c r="I23" s="9">
        <f>SUM(L23:P23)</f>
        <v>4730</v>
      </c>
      <c r="J23" s="9"/>
      <c r="K23" s="10"/>
      <c r="L23" s="9">
        <f>9*430</f>
        <v>3870</v>
      </c>
      <c r="M23" s="23">
        <f>2*430</f>
        <v>860</v>
      </c>
      <c r="N23" s="9"/>
      <c r="O23" s="9"/>
      <c r="P23" s="9"/>
      <c r="Q23" s="9"/>
      <c r="R23" s="17" t="s">
        <v>221</v>
      </c>
      <c r="S23" s="8"/>
      <c r="T23" s="8"/>
      <c r="U23" s="8"/>
    </row>
    <row r="24" spans="2:21">
      <c r="B24" s="12" t="s">
        <v>222</v>
      </c>
      <c r="C24" s="20">
        <v>45017</v>
      </c>
      <c r="D24" s="20"/>
      <c r="E24" s="8" t="s">
        <v>172</v>
      </c>
      <c r="F24" s="14" t="s">
        <v>35</v>
      </c>
      <c r="G24" s="8" t="s">
        <v>180</v>
      </c>
      <c r="H24" s="14" t="s">
        <v>216</v>
      </c>
      <c r="I24" s="9">
        <v>17830</v>
      </c>
      <c r="J24" s="9"/>
      <c r="K24" s="10"/>
      <c r="L24" s="9"/>
      <c r="N24" s="9"/>
      <c r="O24" s="9"/>
      <c r="P24" s="9"/>
      <c r="Q24" s="9"/>
      <c r="R24" s="17"/>
      <c r="S24" s="8"/>
      <c r="T24" s="8"/>
      <c r="U24" s="25"/>
    </row>
    <row r="25" spans="2:21">
      <c r="B25" s="12" t="s">
        <v>36</v>
      </c>
      <c r="C25" s="13">
        <v>45658</v>
      </c>
      <c r="D25" s="13">
        <v>45748</v>
      </c>
      <c r="E25" s="14" t="s">
        <v>172</v>
      </c>
      <c r="F25" s="14" t="s">
        <v>37</v>
      </c>
      <c r="G25" s="14" t="s">
        <v>173</v>
      </c>
      <c r="H25" s="14" t="s">
        <v>190</v>
      </c>
      <c r="I25" s="9">
        <f>SUM(L25:Q25)</f>
        <v>18060</v>
      </c>
      <c r="J25" s="9"/>
      <c r="K25" s="10"/>
      <c r="L25" s="9">
        <f>15*430</f>
        <v>6450</v>
      </c>
      <c r="M25" s="23">
        <f>27*430</f>
        <v>11610</v>
      </c>
      <c r="N25" s="9"/>
      <c r="O25" s="9"/>
      <c r="P25" s="9"/>
      <c r="Q25" s="9"/>
      <c r="R25" s="11" t="s">
        <v>223</v>
      </c>
      <c r="S25" s="8"/>
      <c r="T25" s="8"/>
      <c r="U25" s="8"/>
    </row>
    <row r="26" spans="2:21">
      <c r="B26" s="12" t="s">
        <v>224</v>
      </c>
      <c r="C26" s="13">
        <v>45772</v>
      </c>
      <c r="D26" s="13">
        <v>45748</v>
      </c>
      <c r="E26" s="14" t="s">
        <v>172</v>
      </c>
      <c r="F26" s="14"/>
      <c r="G26" s="14" t="s">
        <v>173</v>
      </c>
      <c r="H26" s="14" t="s">
        <v>190</v>
      </c>
      <c r="I26" s="9">
        <f>SUM(L26:P26)</f>
        <v>4300</v>
      </c>
      <c r="J26" s="9"/>
      <c r="K26" s="10"/>
      <c r="L26" s="9">
        <f>10*430</f>
        <v>4300</v>
      </c>
      <c r="M26" s="9"/>
      <c r="N26" s="9"/>
      <c r="O26" s="9"/>
      <c r="P26" s="9"/>
      <c r="Q26" s="9"/>
      <c r="R26" s="11" t="s">
        <v>225</v>
      </c>
      <c r="S26" s="8"/>
      <c r="T26" s="8"/>
      <c r="U26" s="8"/>
    </row>
    <row r="27" spans="2:21">
      <c r="B27" s="26" t="s">
        <v>38</v>
      </c>
      <c r="C27" s="13">
        <v>45689</v>
      </c>
      <c r="D27" s="20">
        <v>45809</v>
      </c>
      <c r="E27" s="14" t="s">
        <v>172</v>
      </c>
      <c r="F27" s="14" t="s">
        <v>39</v>
      </c>
      <c r="G27" s="14" t="s">
        <v>173</v>
      </c>
      <c r="H27" s="14" t="s">
        <v>190</v>
      </c>
      <c r="I27" s="9">
        <f>SUM(L27:P27)</f>
        <v>25800</v>
      </c>
      <c r="J27" s="9"/>
      <c r="K27" s="10"/>
      <c r="L27" s="9"/>
      <c r="M27" s="9"/>
      <c r="N27" s="9">
        <f>60*430</f>
        <v>25800</v>
      </c>
      <c r="O27" s="9"/>
      <c r="P27" s="9"/>
      <c r="Q27" s="9"/>
      <c r="R27" s="17" t="s">
        <v>226</v>
      </c>
      <c r="S27" s="8"/>
      <c r="T27" s="8"/>
      <c r="U27" s="8"/>
    </row>
    <row r="28" spans="2:21">
      <c r="B28" s="29" t="s">
        <v>227</v>
      </c>
      <c r="C28" s="13">
        <v>45741</v>
      </c>
      <c r="D28" s="20">
        <v>45809</v>
      </c>
      <c r="E28" s="14" t="s">
        <v>172</v>
      </c>
      <c r="F28" s="14" t="s">
        <v>39</v>
      </c>
      <c r="G28" s="14" t="s">
        <v>173</v>
      </c>
      <c r="H28" s="14" t="s">
        <v>190</v>
      </c>
      <c r="I28" s="9">
        <f>SUM(L28:P28)</f>
        <v>6020</v>
      </c>
      <c r="J28" s="9"/>
      <c r="K28" s="10"/>
      <c r="L28" s="9">
        <v>430</v>
      </c>
      <c r="M28" s="9"/>
      <c r="N28" s="9">
        <f>13*430</f>
        <v>5590</v>
      </c>
      <c r="O28" s="9"/>
      <c r="P28" s="9"/>
      <c r="Q28" s="9"/>
      <c r="R28" s="17" t="s">
        <v>228</v>
      </c>
      <c r="S28" s="8"/>
      <c r="T28" s="8"/>
      <c r="U28" s="8"/>
    </row>
    <row r="29" spans="2:21">
      <c r="B29" s="8" t="s">
        <v>229</v>
      </c>
      <c r="C29" s="13">
        <v>45772</v>
      </c>
      <c r="D29" s="13">
        <v>45778</v>
      </c>
      <c r="E29" s="14" t="s">
        <v>172</v>
      </c>
      <c r="F29" s="14" t="s">
        <v>39</v>
      </c>
      <c r="G29" s="22" t="s">
        <v>230</v>
      </c>
      <c r="H29" s="14" t="s">
        <v>190</v>
      </c>
      <c r="I29" s="9">
        <v>2800</v>
      </c>
      <c r="J29" s="9"/>
      <c r="K29" s="10"/>
      <c r="L29" s="9">
        <v>1340</v>
      </c>
      <c r="M29" s="23">
        <v>600</v>
      </c>
      <c r="N29" s="9"/>
      <c r="O29" s="9"/>
      <c r="P29" s="9"/>
      <c r="Q29" s="9">
        <v>860</v>
      </c>
      <c r="R29" s="8" t="s">
        <v>231</v>
      </c>
      <c r="S29" s="8"/>
      <c r="T29" s="8"/>
      <c r="U29" s="8"/>
    </row>
    <row r="30" spans="2:21">
      <c r="B30" s="8" t="s">
        <v>40</v>
      </c>
      <c r="C30" s="13">
        <v>45566</v>
      </c>
      <c r="D30" s="13">
        <v>45901</v>
      </c>
      <c r="E30" s="14" t="s">
        <v>172</v>
      </c>
      <c r="F30" s="14" t="s">
        <v>41</v>
      </c>
      <c r="G30" s="14" t="s">
        <v>173</v>
      </c>
      <c r="H30" s="14" t="s">
        <v>190</v>
      </c>
      <c r="I30" s="9">
        <f>SUM(L30:P30)</f>
        <v>22790</v>
      </c>
      <c r="J30" s="9"/>
      <c r="K30" s="10"/>
      <c r="L30" s="9">
        <f>16*430</f>
        <v>6880</v>
      </c>
      <c r="M30" s="23">
        <f>37*430</f>
        <v>15910</v>
      </c>
      <c r="N30" s="9"/>
      <c r="O30" s="9"/>
      <c r="P30" s="9"/>
      <c r="Q30" s="9"/>
      <c r="R30" s="11" t="s">
        <v>232</v>
      </c>
      <c r="S30" s="8"/>
      <c r="T30" s="8"/>
      <c r="U30" s="8"/>
    </row>
    <row r="31" spans="2:21">
      <c r="B31" s="8" t="s">
        <v>233</v>
      </c>
      <c r="C31" s="13">
        <v>45597</v>
      </c>
      <c r="D31" s="13">
        <v>45931</v>
      </c>
      <c r="E31" s="14" t="s">
        <v>172</v>
      </c>
      <c r="F31" s="14"/>
      <c r="G31" s="14" t="s">
        <v>173</v>
      </c>
      <c r="H31" s="14" t="s">
        <v>216</v>
      </c>
      <c r="I31" s="9">
        <f>SUM(L31:P31)</f>
        <v>95460</v>
      </c>
      <c r="J31" s="9"/>
      <c r="K31" s="10"/>
      <c r="L31" s="9">
        <f>89*430</f>
        <v>38270</v>
      </c>
      <c r="M31" s="23">
        <f>43*430</f>
        <v>18490</v>
      </c>
      <c r="N31" s="9">
        <f>90*430</f>
        <v>38700</v>
      </c>
      <c r="O31" s="9"/>
      <c r="P31" s="9"/>
      <c r="Q31" s="9"/>
      <c r="R31" s="17" t="s">
        <v>234</v>
      </c>
      <c r="S31" s="11" t="s">
        <v>235</v>
      </c>
      <c r="T31" s="11" t="s">
        <v>236</v>
      </c>
      <c r="U31" s="8"/>
    </row>
    <row r="32" spans="2:21">
      <c r="B32" s="8" t="s">
        <v>46</v>
      </c>
      <c r="C32" s="13">
        <v>45597</v>
      </c>
      <c r="D32" s="13">
        <v>45778</v>
      </c>
      <c r="E32" s="14" t="s">
        <v>172</v>
      </c>
      <c r="F32" s="14"/>
      <c r="G32" s="14" t="s">
        <v>173</v>
      </c>
      <c r="H32" s="14" t="s">
        <v>216</v>
      </c>
      <c r="I32" s="9">
        <f>SUM(L32:Q32)</f>
        <v>50310</v>
      </c>
      <c r="J32" s="9"/>
      <c r="K32" s="10"/>
      <c r="L32" s="9">
        <f>81.5*430+215</f>
        <v>35260</v>
      </c>
      <c r="M32" s="23">
        <f>17*430</f>
        <v>7310</v>
      </c>
      <c r="N32" s="9"/>
      <c r="O32" s="9"/>
      <c r="P32" s="9"/>
      <c r="Q32" s="9">
        <f>(10.5+8)*430-215</f>
        <v>7740</v>
      </c>
      <c r="R32" s="17" t="s">
        <v>237</v>
      </c>
      <c r="S32" s="8"/>
      <c r="T32" s="8"/>
      <c r="U32" s="8"/>
    </row>
    <row r="33" spans="2:21">
      <c r="B33" s="28" t="s">
        <v>238</v>
      </c>
      <c r="I33" s="9">
        <v>485685</v>
      </c>
    </row>
    <row r="34" spans="2:21">
      <c r="B34" s="8" t="s">
        <v>239</v>
      </c>
      <c r="C34" s="13">
        <v>45925</v>
      </c>
      <c r="D34" s="14"/>
      <c r="E34" s="14" t="s">
        <v>172</v>
      </c>
      <c r="F34" s="14"/>
      <c r="G34" s="14" t="s">
        <v>240</v>
      </c>
      <c r="H34" s="14" t="s">
        <v>216</v>
      </c>
      <c r="I34" s="9">
        <f>20*430</f>
        <v>8600</v>
      </c>
      <c r="J34" s="9"/>
      <c r="K34" s="10"/>
      <c r="L34" s="9"/>
      <c r="M34" s="9"/>
      <c r="N34" s="9">
        <f>20*430</f>
        <v>8600</v>
      </c>
      <c r="O34" s="9"/>
      <c r="P34" s="9"/>
      <c r="Q34" s="9"/>
      <c r="R34" s="11" t="s">
        <v>241</v>
      </c>
      <c r="S34" s="8"/>
      <c r="T34" s="8"/>
      <c r="U34" s="8"/>
    </row>
    <row r="35" spans="2:21">
      <c r="B35" s="8" t="s">
        <v>55</v>
      </c>
      <c r="C35" s="13">
        <v>45955</v>
      </c>
      <c r="D35" s="13">
        <v>45931</v>
      </c>
      <c r="E35" s="14" t="s">
        <v>172</v>
      </c>
      <c r="F35" s="14"/>
      <c r="G35" s="14" t="s">
        <v>173</v>
      </c>
      <c r="H35" s="14" t="s">
        <v>216</v>
      </c>
      <c r="I35" s="9">
        <f>SUM(L35:Q35)</f>
        <v>3010</v>
      </c>
      <c r="J35" s="9"/>
      <c r="K35" s="10"/>
      <c r="L35" s="9"/>
      <c r="M35" s="9"/>
      <c r="N35" s="9"/>
      <c r="O35" s="9"/>
      <c r="P35" s="9"/>
      <c r="Q35" s="9">
        <f>7*430</f>
        <v>3010</v>
      </c>
      <c r="R35" s="17" t="s">
        <v>242</v>
      </c>
      <c r="S35" s="8"/>
      <c r="T35" s="8"/>
      <c r="U35" s="8"/>
    </row>
    <row r="36" spans="2:21">
      <c r="B36" s="61" t="s">
        <v>80</v>
      </c>
      <c r="C36" s="13">
        <v>45863</v>
      </c>
      <c r="D36" s="20">
        <v>46054</v>
      </c>
      <c r="E36" s="14" t="s">
        <v>172</v>
      </c>
      <c r="F36" s="14" t="s">
        <v>81</v>
      </c>
      <c r="G36" s="14" t="s">
        <v>173</v>
      </c>
      <c r="H36" s="14" t="s">
        <v>243</v>
      </c>
      <c r="I36" s="9">
        <v>12900</v>
      </c>
      <c r="J36" s="9"/>
      <c r="K36" s="10"/>
      <c r="L36" s="9">
        <v>12900</v>
      </c>
      <c r="M36" s="9"/>
      <c r="N36" s="9"/>
      <c r="O36" s="9"/>
      <c r="P36" s="9"/>
      <c r="Q36" s="9"/>
      <c r="R36" s="17" t="s">
        <v>244</v>
      </c>
      <c r="S36" s="8"/>
      <c r="T36" s="8"/>
      <c r="U36" s="8"/>
    </row>
    <row r="37" spans="2:21">
      <c r="B37" s="61" t="s">
        <v>245</v>
      </c>
      <c r="C37" s="13"/>
      <c r="D37" s="20">
        <v>46054</v>
      </c>
      <c r="E37" s="14" t="s">
        <v>172</v>
      </c>
      <c r="F37" s="14" t="s">
        <v>81</v>
      </c>
      <c r="G37" s="14" t="s">
        <v>173</v>
      </c>
      <c r="H37" s="14" t="s">
        <v>243</v>
      </c>
      <c r="I37" s="9">
        <v>2150</v>
      </c>
      <c r="J37" s="9"/>
      <c r="K37" s="10"/>
      <c r="L37" s="9">
        <v>430</v>
      </c>
      <c r="M37" s="9"/>
      <c r="N37" s="9"/>
      <c r="O37" s="9"/>
      <c r="P37" s="9">
        <v>1720</v>
      </c>
      <c r="Q37" s="9"/>
      <c r="R37" s="17" t="s">
        <v>246</v>
      </c>
      <c r="S37" s="8"/>
      <c r="T37" s="8"/>
      <c r="U37" s="8"/>
    </row>
    <row r="38" spans="2:21">
      <c r="B38" s="61" t="s">
        <v>247</v>
      </c>
      <c r="C38" s="20">
        <v>45925</v>
      </c>
      <c r="D38" s="20">
        <v>46023</v>
      </c>
      <c r="E38" s="14" t="s">
        <v>172</v>
      </c>
      <c r="F38" s="14" t="s">
        <v>77</v>
      </c>
      <c r="G38" s="14" t="s">
        <v>173</v>
      </c>
      <c r="H38" s="14" t="s">
        <v>243</v>
      </c>
      <c r="I38" s="16">
        <v>13330</v>
      </c>
      <c r="J38" s="9"/>
      <c r="K38" s="10"/>
      <c r="L38" s="9">
        <v>10110</v>
      </c>
      <c r="M38" s="9">
        <v>1720</v>
      </c>
      <c r="N38" s="9"/>
      <c r="O38" s="9"/>
      <c r="P38" s="9"/>
      <c r="Q38" s="9">
        <v>1500</v>
      </c>
      <c r="R38" s="43" t="s">
        <v>248</v>
      </c>
      <c r="S38" s="8"/>
      <c r="T38" s="8"/>
      <c r="U38" s="8"/>
    </row>
    <row r="39" spans="2:21">
      <c r="B39" s="61" t="s">
        <v>249</v>
      </c>
      <c r="C39" s="13">
        <v>45925</v>
      </c>
      <c r="D39" s="14">
        <v>46054</v>
      </c>
      <c r="E39" s="14" t="s">
        <v>172</v>
      </c>
      <c r="F39" s="14" t="s">
        <v>79</v>
      </c>
      <c r="G39" s="14" t="s">
        <v>173</v>
      </c>
      <c r="H39" s="14" t="s">
        <v>243</v>
      </c>
      <c r="I39" s="9">
        <v>13760</v>
      </c>
      <c r="J39" s="9"/>
      <c r="K39" s="10"/>
      <c r="L39" s="9">
        <v>9890</v>
      </c>
      <c r="M39" s="9">
        <v>3870</v>
      </c>
      <c r="N39" s="9"/>
      <c r="O39" s="9"/>
      <c r="P39" s="9"/>
      <c r="Q39" s="9"/>
      <c r="R39" s="31" t="s">
        <v>250</v>
      </c>
      <c r="S39" s="8"/>
      <c r="T39" s="8"/>
      <c r="U39" s="8"/>
    </row>
    <row r="40" spans="2:21">
      <c r="B40" s="61" t="s">
        <v>251</v>
      </c>
      <c r="C40" s="13">
        <v>45809</v>
      </c>
      <c r="D40" s="14">
        <v>46054</v>
      </c>
      <c r="E40" s="14" t="s">
        <v>172</v>
      </c>
      <c r="F40" s="14" t="s">
        <v>83</v>
      </c>
      <c r="G40" s="14" t="s">
        <v>173</v>
      </c>
      <c r="H40" s="14" t="s">
        <v>243</v>
      </c>
      <c r="I40" s="9">
        <v>21930</v>
      </c>
      <c r="J40" s="9"/>
      <c r="K40" s="10"/>
      <c r="L40" s="9">
        <v>15910</v>
      </c>
      <c r="M40" s="9">
        <v>6020</v>
      </c>
      <c r="N40" s="9"/>
      <c r="O40" s="9"/>
      <c r="P40" s="9"/>
      <c r="Q40" s="9">
        <v>0</v>
      </c>
      <c r="R40" s="37" t="s">
        <v>252</v>
      </c>
      <c r="S40" s="17"/>
      <c r="T40" s="8"/>
      <c r="U40" s="8"/>
    </row>
    <row r="41" spans="2:21">
      <c r="B41" s="61" t="s">
        <v>93</v>
      </c>
      <c r="C41" s="13"/>
      <c r="D41" s="13">
        <v>46082</v>
      </c>
      <c r="E41" s="14" t="s">
        <v>172</v>
      </c>
      <c r="F41" s="14" t="s">
        <v>94</v>
      </c>
      <c r="G41" s="14" t="s">
        <v>173</v>
      </c>
      <c r="H41" s="14" t="s">
        <v>216</v>
      </c>
      <c r="I41" s="9">
        <v>38270</v>
      </c>
      <c r="J41" s="9">
        <v>34443</v>
      </c>
      <c r="K41" s="10"/>
      <c r="L41" s="9">
        <v>18060</v>
      </c>
      <c r="M41" s="9">
        <v>17630</v>
      </c>
      <c r="N41" s="9">
        <v>2580</v>
      </c>
      <c r="O41" s="9"/>
      <c r="P41" s="9"/>
      <c r="Q41" s="9"/>
      <c r="R41" s="17" t="s">
        <v>253</v>
      </c>
      <c r="S41" s="11"/>
      <c r="T41" s="8"/>
      <c r="U41" s="8"/>
    </row>
    <row r="42" spans="2:21">
      <c r="B42" s="61" t="s">
        <v>254</v>
      </c>
      <c r="C42" s="14">
        <v>45925</v>
      </c>
      <c r="D42" s="20" t="s">
        <v>255</v>
      </c>
      <c r="E42" s="14" t="s">
        <v>172</v>
      </c>
      <c r="F42" s="14" t="s">
        <v>256</v>
      </c>
      <c r="G42" s="14" t="s">
        <v>173</v>
      </c>
      <c r="H42" s="14" t="s">
        <v>243</v>
      </c>
      <c r="I42" s="16">
        <v>9460</v>
      </c>
      <c r="J42" s="9"/>
      <c r="K42" s="10"/>
      <c r="L42" s="9">
        <v>5160</v>
      </c>
      <c r="M42" s="9"/>
      <c r="N42" s="9"/>
      <c r="O42" s="9"/>
      <c r="P42" s="9"/>
      <c r="Q42" s="9">
        <v>4300</v>
      </c>
      <c r="R42" s="17" t="s">
        <v>257</v>
      </c>
      <c r="S42" s="8"/>
      <c r="T42" s="8"/>
      <c r="U42" s="8"/>
    </row>
    <row r="43" spans="2:21">
      <c r="B43" s="62" t="s">
        <v>258</v>
      </c>
      <c r="C43" s="13">
        <v>45925</v>
      </c>
      <c r="D43" s="14" t="s">
        <v>259</v>
      </c>
      <c r="E43" s="14" t="s">
        <v>172</v>
      </c>
      <c r="F43" s="14" t="s">
        <v>260</v>
      </c>
      <c r="G43" s="14" t="s">
        <v>173</v>
      </c>
      <c r="H43" s="14" t="s">
        <v>243</v>
      </c>
      <c r="I43" s="16">
        <v>119970</v>
      </c>
      <c r="J43" s="9"/>
      <c r="K43" s="10"/>
      <c r="L43" s="9">
        <v>109650</v>
      </c>
      <c r="M43" s="9">
        <v>3870</v>
      </c>
      <c r="N43" s="9"/>
      <c r="O43" s="9"/>
      <c r="P43" s="9">
        <v>6450</v>
      </c>
      <c r="Q43" s="9"/>
      <c r="R43" s="31" t="s">
        <v>261</v>
      </c>
      <c r="S43" s="8" t="s">
        <v>262</v>
      </c>
      <c r="T43" s="8"/>
      <c r="U43" s="8"/>
    </row>
    <row r="44" spans="2:21">
      <c r="B44" s="8" t="s">
        <v>239</v>
      </c>
      <c r="C44" s="13">
        <v>45925</v>
      </c>
      <c r="D44" s="14"/>
      <c r="E44" s="14" t="s">
        <v>172</v>
      </c>
      <c r="F44" s="14"/>
      <c r="G44" s="14" t="s">
        <v>240</v>
      </c>
      <c r="H44" s="14" t="s">
        <v>174</v>
      </c>
      <c r="I44" s="9">
        <v>8600</v>
      </c>
      <c r="J44" s="9"/>
      <c r="K44" s="10"/>
      <c r="L44" s="9"/>
      <c r="M44" s="9"/>
      <c r="N44" s="9">
        <v>8600</v>
      </c>
      <c r="O44" s="9"/>
      <c r="P44" s="9"/>
      <c r="Q44" s="9"/>
      <c r="R44" s="31" t="s">
        <v>241</v>
      </c>
      <c r="S44" s="8"/>
      <c r="T44" s="8"/>
      <c r="U44" s="8"/>
    </row>
    <row r="45" spans="2:21">
      <c r="B45" s="8" t="s">
        <v>55</v>
      </c>
      <c r="C45" s="14">
        <v>45955</v>
      </c>
      <c r="D45" s="20">
        <v>45931</v>
      </c>
      <c r="E45" s="14" t="s">
        <v>172</v>
      </c>
      <c r="F45" s="14"/>
      <c r="G45" s="14" t="s">
        <v>173</v>
      </c>
      <c r="H45" s="14" t="s">
        <v>174</v>
      </c>
      <c r="I45" s="16">
        <v>3010</v>
      </c>
      <c r="J45" s="9"/>
      <c r="K45" s="10"/>
      <c r="L45" s="9"/>
      <c r="M45" s="9"/>
      <c r="N45" s="9"/>
      <c r="O45" s="9"/>
      <c r="P45" s="9"/>
      <c r="Q45" s="9">
        <v>3010</v>
      </c>
      <c r="R45" s="43" t="s">
        <v>242</v>
      </c>
      <c r="S45" s="8"/>
      <c r="T45" s="8"/>
      <c r="U45" s="8"/>
    </row>
    <row r="46" spans="2:21">
      <c r="B46" s="8" t="s">
        <v>263</v>
      </c>
      <c r="C46" s="13">
        <v>45955</v>
      </c>
      <c r="D46" s="44"/>
      <c r="E46" s="14" t="s">
        <v>172</v>
      </c>
      <c r="F46" s="14"/>
      <c r="G46" s="14" t="s">
        <v>173</v>
      </c>
      <c r="H46" s="14" t="s">
        <v>264</v>
      </c>
      <c r="I46" s="16">
        <v>9890</v>
      </c>
      <c r="J46" s="9"/>
      <c r="K46" s="10"/>
      <c r="L46" s="9">
        <v>860</v>
      </c>
      <c r="M46" s="9"/>
      <c r="N46" s="9">
        <v>9030</v>
      </c>
      <c r="O46" s="9"/>
      <c r="P46" s="9"/>
      <c r="Q46" s="9"/>
      <c r="R46" s="31" t="s">
        <v>265</v>
      </c>
      <c r="S46" s="8"/>
      <c r="T46" s="8"/>
      <c r="U46" s="8"/>
    </row>
    <row r="47" spans="2:21">
      <c r="B47" s="8" t="s">
        <v>73</v>
      </c>
      <c r="C47" s="14">
        <v>45962</v>
      </c>
      <c r="D47" s="14">
        <v>46054</v>
      </c>
      <c r="E47" s="14" t="s">
        <v>172</v>
      </c>
      <c r="F47" s="14" t="s">
        <v>75</v>
      </c>
      <c r="G47" s="14" t="s">
        <v>173</v>
      </c>
      <c r="H47" s="14" t="s">
        <v>243</v>
      </c>
      <c r="I47" s="9">
        <v>7740</v>
      </c>
      <c r="J47" s="9"/>
      <c r="K47" s="10"/>
      <c r="L47" s="9"/>
      <c r="M47" s="9"/>
      <c r="N47" s="9">
        <v>7740</v>
      </c>
      <c r="O47" s="9"/>
      <c r="P47" s="9"/>
      <c r="Q47" s="9"/>
      <c r="R47" s="45" t="s">
        <v>266</v>
      </c>
      <c r="S47" s="8"/>
      <c r="T47" s="8"/>
      <c r="U47" s="8"/>
    </row>
    <row r="48" spans="2:21">
      <c r="B48" s="61" t="s">
        <v>267</v>
      </c>
      <c r="C48" s="13">
        <v>45962</v>
      </c>
      <c r="D48" s="44">
        <v>46082</v>
      </c>
      <c r="E48" s="14" t="s">
        <v>172</v>
      </c>
      <c r="F48" s="14" t="s">
        <v>96</v>
      </c>
      <c r="G48" s="14" t="s">
        <v>173</v>
      </c>
      <c r="H48" s="14" t="s">
        <v>243</v>
      </c>
      <c r="I48" s="16">
        <v>14620</v>
      </c>
      <c r="J48" s="9">
        <v>13158</v>
      </c>
      <c r="K48" s="10"/>
      <c r="L48" s="9">
        <v>430</v>
      </c>
      <c r="M48" s="9"/>
      <c r="N48" s="9"/>
      <c r="O48" s="9"/>
      <c r="P48" s="9"/>
      <c r="Q48" s="9">
        <v>14190</v>
      </c>
      <c r="R48" s="31" t="s">
        <v>268</v>
      </c>
      <c r="S48" s="8"/>
      <c r="T48" s="8"/>
      <c r="U48" s="8"/>
    </row>
    <row r="49" spans="2:21">
      <c r="B49" s="61" t="s">
        <v>95</v>
      </c>
      <c r="C49" s="47">
        <v>45962</v>
      </c>
      <c r="D49" s="13">
        <v>46082</v>
      </c>
      <c r="E49" s="14" t="s">
        <v>172</v>
      </c>
      <c r="F49" s="14" t="s">
        <v>96</v>
      </c>
      <c r="G49" s="14" t="s">
        <v>173</v>
      </c>
      <c r="H49" s="14" t="s">
        <v>243</v>
      </c>
      <c r="I49" s="9">
        <v>16770</v>
      </c>
      <c r="J49" s="9">
        <v>15093</v>
      </c>
      <c r="K49" s="10"/>
      <c r="L49" s="9">
        <v>860</v>
      </c>
      <c r="M49" s="9"/>
      <c r="N49" s="9">
        <v>15910</v>
      </c>
      <c r="O49" s="9"/>
      <c r="P49" s="9"/>
      <c r="Q49" s="9"/>
      <c r="R49" s="31" t="s">
        <v>269</v>
      </c>
      <c r="S49" s="8"/>
      <c r="T49" s="8"/>
      <c r="U49" s="8"/>
    </row>
    <row r="50" spans="2:21">
      <c r="B50" s="61" t="s">
        <v>270</v>
      </c>
      <c r="C50" s="13">
        <v>46054</v>
      </c>
      <c r="D50" s="13">
        <v>46113</v>
      </c>
      <c r="E50" s="14" t="s">
        <v>172</v>
      </c>
      <c r="F50" s="14" t="s">
        <v>96</v>
      </c>
      <c r="G50" s="14" t="s">
        <v>173</v>
      </c>
      <c r="H50" s="14" t="s">
        <v>243</v>
      </c>
      <c r="I50" s="9">
        <v>11610</v>
      </c>
      <c r="J50" s="9">
        <v>10449</v>
      </c>
      <c r="K50" s="10"/>
      <c r="L50" s="9">
        <v>860</v>
      </c>
      <c r="M50" s="9"/>
      <c r="N50" s="9">
        <v>10750</v>
      </c>
      <c r="O50" s="9"/>
      <c r="P50" s="9"/>
      <c r="Q50" s="9"/>
      <c r="R50" s="43" t="s">
        <v>271</v>
      </c>
      <c r="S50" s="19"/>
      <c r="T50" s="8"/>
      <c r="U50" s="8"/>
    </row>
    <row r="51" spans="2:21">
      <c r="B51" s="61" t="s">
        <v>99</v>
      </c>
      <c r="C51" s="14">
        <v>45413</v>
      </c>
      <c r="D51" s="13">
        <v>46113</v>
      </c>
      <c r="E51" s="14" t="s">
        <v>172</v>
      </c>
      <c r="F51" s="14" t="s">
        <v>272</v>
      </c>
      <c r="G51" s="14" t="s">
        <v>173</v>
      </c>
      <c r="H51" s="14" t="s">
        <v>243</v>
      </c>
      <c r="I51" s="9">
        <v>92020</v>
      </c>
      <c r="J51" s="9">
        <v>87420</v>
      </c>
      <c r="K51" s="10"/>
      <c r="L51" s="9">
        <v>57620</v>
      </c>
      <c r="M51" s="9">
        <v>24940</v>
      </c>
      <c r="N51" s="9">
        <v>6450</v>
      </c>
      <c r="O51" s="9"/>
      <c r="P51" s="9">
        <v>3010</v>
      </c>
      <c r="Q51" s="9"/>
      <c r="R51" s="43" t="s">
        <v>273</v>
      </c>
      <c r="S51" s="8"/>
      <c r="T51" s="8"/>
      <c r="U51" s="8"/>
    </row>
    <row r="52" spans="2:21">
      <c r="B52" s="8" t="s">
        <v>274</v>
      </c>
      <c r="C52" s="13">
        <v>46054</v>
      </c>
      <c r="D52" s="20">
        <v>46113</v>
      </c>
      <c r="E52" s="14" t="s">
        <v>172</v>
      </c>
      <c r="F52" s="14" t="s">
        <v>275</v>
      </c>
      <c r="G52" s="14" t="s">
        <v>173</v>
      </c>
      <c r="H52" s="14" t="s">
        <v>216</v>
      </c>
      <c r="I52" s="16">
        <v>2580</v>
      </c>
      <c r="J52" s="9"/>
      <c r="K52" s="10"/>
      <c r="L52" s="9"/>
      <c r="M52" s="9"/>
      <c r="N52" s="9">
        <v>2580</v>
      </c>
      <c r="O52" s="9"/>
      <c r="P52" s="9"/>
      <c r="Q52" s="9"/>
      <c r="R52" s="43" t="s">
        <v>276</v>
      </c>
      <c r="S52" s="8"/>
      <c r="T52" s="8"/>
      <c r="U52" s="8"/>
    </row>
    <row r="53" spans="2:21">
      <c r="B53" s="63" t="s">
        <v>277</v>
      </c>
      <c r="C53">
        <v>45689</v>
      </c>
      <c r="D53" t="s">
        <v>278</v>
      </c>
      <c r="E53" t="s">
        <v>172</v>
      </c>
      <c r="F53" t="s">
        <v>279</v>
      </c>
      <c r="G53" t="s">
        <v>173</v>
      </c>
      <c r="H53" t="s">
        <v>243</v>
      </c>
      <c r="I53" s="9">
        <v>30960</v>
      </c>
      <c r="L53" s="9">
        <v>16125</v>
      </c>
      <c r="M53" s="9">
        <v>14835</v>
      </c>
      <c r="N53" s="9"/>
      <c r="O53" s="9"/>
      <c r="P53" s="9"/>
      <c r="Q53" s="9"/>
      <c r="R53" t="s">
        <v>280</v>
      </c>
    </row>
    <row r="54" spans="2:21">
      <c r="B54" s="63" t="s">
        <v>281</v>
      </c>
      <c r="C54">
        <v>45597</v>
      </c>
      <c r="D54" t="s">
        <v>282</v>
      </c>
      <c r="E54" t="s">
        <v>172</v>
      </c>
      <c r="F54" t="s">
        <v>283</v>
      </c>
      <c r="G54" t="s">
        <v>173</v>
      </c>
      <c r="H54" t="s">
        <v>243</v>
      </c>
      <c r="I54" s="9">
        <v>33970</v>
      </c>
      <c r="L54" s="9">
        <v>16770</v>
      </c>
      <c r="M54" s="9">
        <v>7525</v>
      </c>
      <c r="N54" s="9">
        <v>7740</v>
      </c>
      <c r="O54" s="9"/>
      <c r="P54" s="9">
        <v>1935</v>
      </c>
      <c r="Q54" s="9"/>
      <c r="R54" t="s">
        <v>284</v>
      </c>
    </row>
    <row r="55" spans="2:21">
      <c r="B55" s="63" t="s">
        <v>285</v>
      </c>
      <c r="C55">
        <v>45962</v>
      </c>
      <c r="D55" t="s">
        <v>286</v>
      </c>
      <c r="E55" t="s">
        <v>172</v>
      </c>
      <c r="F55" t="s">
        <v>115</v>
      </c>
      <c r="G55" t="s">
        <v>173</v>
      </c>
      <c r="H55" t="s">
        <v>243</v>
      </c>
      <c r="I55" s="9">
        <v>45000</v>
      </c>
      <c r="J55">
        <v>40500</v>
      </c>
      <c r="L55" s="9">
        <v>13990</v>
      </c>
      <c r="M55" s="9">
        <v>3440</v>
      </c>
      <c r="N55" s="9">
        <v>18770</v>
      </c>
      <c r="O55" s="9"/>
      <c r="P55" s="9"/>
      <c r="Q55" s="9">
        <v>4300</v>
      </c>
      <c r="R55" t="s">
        <v>287</v>
      </c>
    </row>
    <row r="56" spans="2:21">
      <c r="B56" s="63" t="s">
        <v>288</v>
      </c>
      <c r="C56" t="s">
        <v>255</v>
      </c>
      <c r="D56" t="s">
        <v>286</v>
      </c>
      <c r="E56" t="s">
        <v>172</v>
      </c>
      <c r="F56" t="s">
        <v>289</v>
      </c>
      <c r="G56" t="s">
        <v>173</v>
      </c>
      <c r="H56" t="s">
        <v>243</v>
      </c>
      <c r="I56" s="9">
        <v>93740</v>
      </c>
      <c r="L56" s="9">
        <v>51385</v>
      </c>
      <c r="M56" s="9">
        <v>39775</v>
      </c>
      <c r="N56" s="9"/>
      <c r="O56" s="9"/>
      <c r="P56" s="9">
        <v>2580</v>
      </c>
      <c r="Q56" s="9"/>
      <c r="R56" t="s">
        <v>290</v>
      </c>
    </row>
    <row r="57" spans="2:21">
      <c r="B57" s="28" t="s">
        <v>291</v>
      </c>
      <c r="D57" t="s">
        <v>286</v>
      </c>
      <c r="E57" t="s">
        <v>172</v>
      </c>
      <c r="F57" t="s">
        <v>289</v>
      </c>
      <c r="G57" t="s">
        <v>173</v>
      </c>
      <c r="H57" t="s">
        <v>243</v>
      </c>
      <c r="I57" s="9">
        <v>9245</v>
      </c>
      <c r="L57" s="9">
        <v>4945</v>
      </c>
      <c r="M57" s="9">
        <v>4300</v>
      </c>
      <c r="N57" s="9"/>
      <c r="O57" s="9"/>
      <c r="P57" s="9"/>
      <c r="Q57" s="9"/>
      <c r="R57" t="s">
        <v>292</v>
      </c>
    </row>
    <row r="58" spans="2:21">
      <c r="B58" s="28" t="s">
        <v>293</v>
      </c>
      <c r="D58" t="s">
        <v>278</v>
      </c>
      <c r="E58" t="s">
        <v>172</v>
      </c>
      <c r="F58" t="s">
        <v>279</v>
      </c>
      <c r="G58" t="s">
        <v>173</v>
      </c>
      <c r="H58" t="s">
        <v>243</v>
      </c>
      <c r="I58" s="9">
        <v>5160</v>
      </c>
      <c r="L58" s="9">
        <v>160</v>
      </c>
      <c r="M58" s="9"/>
      <c r="N58" s="9"/>
      <c r="O58" s="9"/>
      <c r="P58" s="9"/>
      <c r="Q58" s="9">
        <v>5000</v>
      </c>
      <c r="R58" t="s">
        <v>294</v>
      </c>
    </row>
    <row r="59" spans="2:21">
      <c r="B59" s="28" t="s">
        <v>295</v>
      </c>
      <c r="C59" t="s">
        <v>296</v>
      </c>
      <c r="D59">
        <v>46082</v>
      </c>
      <c r="E59" t="s">
        <v>172</v>
      </c>
      <c r="F59" t="s">
        <v>85</v>
      </c>
      <c r="G59" t="s">
        <v>173</v>
      </c>
      <c r="H59" t="s">
        <v>243</v>
      </c>
      <c r="I59" s="9">
        <v>114970</v>
      </c>
      <c r="L59" s="9"/>
      <c r="M59" s="9">
        <v>39990</v>
      </c>
      <c r="N59" s="9"/>
      <c r="O59" s="9"/>
      <c r="P59" s="9"/>
      <c r="Q59" s="9"/>
      <c r="R59" t="s">
        <v>297</v>
      </c>
    </row>
    <row r="60" spans="2:21">
      <c r="B60" s="28" t="s">
        <v>298</v>
      </c>
      <c r="C60" t="s">
        <v>296</v>
      </c>
      <c r="D60" t="s">
        <v>282</v>
      </c>
      <c r="E60" t="s">
        <v>172</v>
      </c>
      <c r="F60" t="s">
        <v>98</v>
      </c>
      <c r="G60" t="s">
        <v>173</v>
      </c>
      <c r="H60" t="s">
        <v>243</v>
      </c>
      <c r="I60" s="9">
        <v>124970</v>
      </c>
      <c r="L60" s="9">
        <v>66650</v>
      </c>
      <c r="M60" s="9">
        <v>39990</v>
      </c>
      <c r="N60" s="9"/>
      <c r="O60" s="9"/>
      <c r="P60" s="9"/>
      <c r="Q60" s="9"/>
      <c r="R60" t="s">
        <v>299</v>
      </c>
    </row>
    <row r="61" spans="2:21">
      <c r="B61" s="63" t="s">
        <v>300</v>
      </c>
      <c r="C61">
        <v>46138</v>
      </c>
      <c r="D61" t="s">
        <v>282</v>
      </c>
      <c r="E61" t="s">
        <v>172</v>
      </c>
      <c r="F61" t="s">
        <v>301</v>
      </c>
      <c r="G61" t="s">
        <v>173</v>
      </c>
      <c r="H61" t="s">
        <v>216</v>
      </c>
      <c r="I61" s="9">
        <v>15910</v>
      </c>
      <c r="L61" s="9">
        <v>2365</v>
      </c>
      <c r="M61" s="9">
        <v>7095</v>
      </c>
      <c r="N61" s="9">
        <v>6450</v>
      </c>
      <c r="O61" s="9"/>
      <c r="P61" s="9"/>
      <c r="Q61" s="9"/>
      <c r="R61" t="s">
        <v>302</v>
      </c>
    </row>
    <row r="62" spans="2:21">
      <c r="B62" s="28" t="s">
        <v>303</v>
      </c>
      <c r="C62">
        <v>46138</v>
      </c>
      <c r="D62" t="s">
        <v>304</v>
      </c>
      <c r="E62" t="s">
        <v>172</v>
      </c>
      <c r="F62" t="s">
        <v>301</v>
      </c>
      <c r="G62" t="s">
        <v>173</v>
      </c>
      <c r="H62" t="s">
        <v>216</v>
      </c>
      <c r="I62" s="9">
        <v>48590</v>
      </c>
      <c r="J62" t="s">
        <v>305</v>
      </c>
      <c r="L62" s="9">
        <v>23865</v>
      </c>
      <c r="M62" s="9">
        <v>17630</v>
      </c>
      <c r="N62" s="9">
        <v>5375</v>
      </c>
      <c r="O62" s="9"/>
      <c r="P62" s="9">
        <v>1720</v>
      </c>
      <c r="Q62" s="9"/>
      <c r="R62" t="s">
        <v>306</v>
      </c>
      <c r="S62" t="s">
        <v>307</v>
      </c>
    </row>
    <row r="63" spans="2:21">
      <c r="B63" s="28" t="s">
        <v>308</v>
      </c>
      <c r="C63">
        <v>45863</v>
      </c>
      <c r="D63" t="s">
        <v>282</v>
      </c>
      <c r="E63" t="s">
        <v>172</v>
      </c>
      <c r="F63" t="s">
        <v>115</v>
      </c>
      <c r="G63" t="s">
        <v>173</v>
      </c>
      <c r="H63" t="s">
        <v>243</v>
      </c>
      <c r="I63" s="9">
        <v>82130</v>
      </c>
      <c r="L63" s="9">
        <v>33755</v>
      </c>
      <c r="M63" s="9">
        <v>6665</v>
      </c>
      <c r="N63" s="9">
        <v>41710</v>
      </c>
      <c r="O63" s="9"/>
      <c r="P63" s="9"/>
      <c r="Q63" s="9"/>
      <c r="R63" t="s">
        <v>309</v>
      </c>
    </row>
    <row r="64" spans="2:21">
      <c r="B64" s="28" t="s">
        <v>310</v>
      </c>
      <c r="D64" t="s">
        <v>282</v>
      </c>
      <c r="E64" t="s">
        <v>172</v>
      </c>
      <c r="F64" t="s">
        <v>301</v>
      </c>
      <c r="G64" t="s">
        <v>173</v>
      </c>
      <c r="H64" t="s">
        <v>243</v>
      </c>
      <c r="I64" s="9">
        <v>4300</v>
      </c>
      <c r="L64" s="9"/>
      <c r="M64" s="9">
        <v>4300</v>
      </c>
      <c r="N64" s="9"/>
      <c r="O64" s="9"/>
      <c r="P64" s="9"/>
      <c r="Q64" s="9"/>
      <c r="R64" t="s">
        <v>311</v>
      </c>
    </row>
    <row r="65" spans="2:19">
      <c r="B65" s="28" t="s">
        <v>312</v>
      </c>
      <c r="D65" t="s">
        <v>278</v>
      </c>
      <c r="E65" t="s">
        <v>172</v>
      </c>
      <c r="F65" t="s">
        <v>275</v>
      </c>
      <c r="G65" t="s">
        <v>173</v>
      </c>
      <c r="H65" t="s">
        <v>243</v>
      </c>
      <c r="I65" s="9">
        <v>4730</v>
      </c>
      <c r="L65" s="9"/>
      <c r="M65" s="9"/>
      <c r="N65" s="9">
        <v>4730</v>
      </c>
      <c r="O65" s="9"/>
      <c r="P65" s="9"/>
      <c r="Q65" s="9"/>
      <c r="R65" t="s">
        <v>313</v>
      </c>
    </row>
    <row r="66" spans="2:19">
      <c r="B66" s="28" t="s">
        <v>314</v>
      </c>
      <c r="D66" t="s">
        <v>304</v>
      </c>
      <c r="E66" t="s">
        <v>172</v>
      </c>
      <c r="F66" t="s">
        <v>315</v>
      </c>
      <c r="G66" t="s">
        <v>173</v>
      </c>
      <c r="H66" t="s">
        <v>243</v>
      </c>
      <c r="I66" s="9">
        <v>27520</v>
      </c>
      <c r="J66" t="s">
        <v>316</v>
      </c>
      <c r="L66" s="9">
        <v>10320</v>
      </c>
      <c r="M66" s="9">
        <v>17200</v>
      </c>
      <c r="N66" s="9"/>
      <c r="O66" s="9"/>
      <c r="P66" s="9"/>
      <c r="Q66" s="9"/>
      <c r="R66" t="s">
        <v>317</v>
      </c>
    </row>
    <row r="67" spans="2:19">
      <c r="B67" s="28" t="s">
        <v>318</v>
      </c>
      <c r="D67">
        <v>2027</v>
      </c>
      <c r="E67" t="s">
        <v>172</v>
      </c>
      <c r="G67" t="s">
        <v>173</v>
      </c>
      <c r="H67" t="s">
        <v>264</v>
      </c>
      <c r="I67" s="9"/>
      <c r="L67" s="9"/>
      <c r="M67" s="9"/>
      <c r="N67" s="9"/>
      <c r="O67" s="9"/>
      <c r="P67" s="9"/>
      <c r="Q67" s="9"/>
    </row>
    <row r="68" spans="2:19">
      <c r="B68" s="28" t="s">
        <v>319</v>
      </c>
      <c r="D68" t="s">
        <v>278</v>
      </c>
      <c r="E68" t="s">
        <v>172</v>
      </c>
      <c r="F68" t="s">
        <v>320</v>
      </c>
      <c r="G68" t="s">
        <v>173</v>
      </c>
      <c r="H68" t="s">
        <v>243</v>
      </c>
      <c r="I68" s="9">
        <v>38700</v>
      </c>
      <c r="J68" t="s">
        <v>321</v>
      </c>
      <c r="L68" s="9">
        <v>20425</v>
      </c>
      <c r="M68" s="9">
        <v>18275</v>
      </c>
      <c r="N68" s="9"/>
      <c r="O68" s="9"/>
      <c r="P68" s="9"/>
      <c r="Q68" s="9"/>
      <c r="R68" t="s">
        <v>322</v>
      </c>
      <c r="S68" t="s">
        <v>323</v>
      </c>
    </row>
    <row r="69" spans="2:19">
      <c r="B69" s="28" t="s">
        <v>324</v>
      </c>
      <c r="D69" t="s">
        <v>278</v>
      </c>
      <c r="E69" t="s">
        <v>172</v>
      </c>
      <c r="F69" t="s">
        <v>325</v>
      </c>
      <c r="G69" t="s">
        <v>173</v>
      </c>
      <c r="H69" t="s">
        <v>243</v>
      </c>
      <c r="I69" s="9">
        <v>127710</v>
      </c>
      <c r="L69" s="9">
        <v>70950</v>
      </c>
      <c r="M69" s="9">
        <v>42570</v>
      </c>
      <c r="N69" s="9"/>
      <c r="O69" s="9"/>
      <c r="P69" s="9"/>
      <c r="Q69" s="9"/>
      <c r="R69" t="s">
        <v>326</v>
      </c>
    </row>
    <row r="70" spans="2:19">
      <c r="B70" s="28" t="s">
        <v>327</v>
      </c>
      <c r="F70" t="s">
        <v>328</v>
      </c>
      <c r="G70" t="s">
        <v>173</v>
      </c>
      <c r="I70" s="9">
        <v>18300</v>
      </c>
      <c r="L70" s="9"/>
      <c r="M70" s="9"/>
      <c r="N70" s="9"/>
      <c r="O70" s="9"/>
      <c r="P70" s="9"/>
      <c r="Q70" s="9"/>
    </row>
    <row r="71" spans="2:19">
      <c r="B71" s="28" t="s">
        <v>329</v>
      </c>
      <c r="C71">
        <v>45955</v>
      </c>
      <c r="D71">
        <v>46113</v>
      </c>
      <c r="E71" t="s">
        <v>172</v>
      </c>
      <c r="G71" t="s">
        <v>173</v>
      </c>
      <c r="H71" t="s">
        <v>216</v>
      </c>
      <c r="I71" s="9">
        <v>3440</v>
      </c>
      <c r="L71" s="9"/>
      <c r="M71" s="9"/>
      <c r="N71" s="9"/>
      <c r="O71" s="9"/>
      <c r="P71" s="9">
        <v>3440</v>
      </c>
      <c r="Q71" s="9"/>
      <c r="R71" t="s">
        <v>330</v>
      </c>
    </row>
    <row r="72" spans="2:19">
      <c r="B72" s="28" t="s">
        <v>331</v>
      </c>
      <c r="D72" t="s">
        <v>278</v>
      </c>
      <c r="E72" t="s">
        <v>172</v>
      </c>
      <c r="G72" t="s">
        <v>173</v>
      </c>
      <c r="H72" t="s">
        <v>216</v>
      </c>
      <c r="I72" s="9">
        <v>4300</v>
      </c>
      <c r="L72" s="9"/>
      <c r="M72" s="9"/>
      <c r="N72" s="9">
        <v>4300</v>
      </c>
      <c r="O72" s="9"/>
      <c r="P72" s="9"/>
      <c r="Q72" s="9"/>
      <c r="R72" t="s">
        <v>332</v>
      </c>
    </row>
    <row r="73" spans="2:19">
      <c r="B73" s="28" t="s">
        <v>333</v>
      </c>
      <c r="D73" t="s">
        <v>334</v>
      </c>
      <c r="E73" t="s">
        <v>172</v>
      </c>
      <c r="G73" t="s">
        <v>173</v>
      </c>
      <c r="H73" t="s">
        <v>335</v>
      </c>
      <c r="I73" s="9">
        <v>123840</v>
      </c>
      <c r="L73" s="9">
        <v>68800</v>
      </c>
      <c r="M73" s="9">
        <v>41280</v>
      </c>
      <c r="N73" s="9"/>
      <c r="O73" s="9"/>
      <c r="P73" s="9"/>
      <c r="Q73" s="9"/>
    </row>
    <row r="74" spans="2:19">
      <c r="B74" s="28" t="s">
        <v>336</v>
      </c>
      <c r="D74">
        <v>2027</v>
      </c>
      <c r="E74" t="s">
        <v>172</v>
      </c>
      <c r="G74" t="s">
        <v>173</v>
      </c>
      <c r="H74" t="s">
        <v>335</v>
      </c>
      <c r="I74" s="9"/>
      <c r="L74" s="9"/>
      <c r="M74" s="9"/>
      <c r="N74" s="9"/>
      <c r="O74" s="9"/>
      <c r="P74" s="9"/>
      <c r="Q74" s="9"/>
      <c r="R74" t="s">
        <v>337</v>
      </c>
    </row>
    <row r="75" spans="2:19">
      <c r="B75" s="28" t="s">
        <v>338</v>
      </c>
      <c r="D75" t="s">
        <v>339</v>
      </c>
      <c r="E75" t="s">
        <v>172</v>
      </c>
      <c r="G75" t="s">
        <v>173</v>
      </c>
      <c r="H75" t="s">
        <v>335</v>
      </c>
      <c r="I75" s="9"/>
      <c r="L75" s="9"/>
      <c r="M75" s="9"/>
      <c r="N75" s="9"/>
      <c r="O75" s="9"/>
      <c r="P75" s="9"/>
      <c r="Q75" s="9"/>
    </row>
    <row r="76" spans="2:19">
      <c r="B76" s="28" t="s">
        <v>340</v>
      </c>
      <c r="D76">
        <v>46327</v>
      </c>
      <c r="E76" t="s">
        <v>172</v>
      </c>
      <c r="G76" t="s">
        <v>173</v>
      </c>
      <c r="H76" t="s">
        <v>335</v>
      </c>
      <c r="I76" s="9"/>
      <c r="L76" s="9"/>
      <c r="M76" s="9"/>
      <c r="N76" s="9"/>
      <c r="O76" s="9"/>
      <c r="P76" s="9"/>
      <c r="Q76" s="9"/>
      <c r="R76" t="s">
        <v>341</v>
      </c>
    </row>
    <row r="77" spans="2:19">
      <c r="B77" s="28" t="s">
        <v>342</v>
      </c>
      <c r="D77">
        <v>2027</v>
      </c>
      <c r="E77" t="s">
        <v>172</v>
      </c>
      <c r="G77" t="s">
        <v>173</v>
      </c>
      <c r="I77" s="9"/>
      <c r="L77" s="9"/>
      <c r="M77" s="9"/>
      <c r="N77" s="9"/>
      <c r="O77" s="9"/>
      <c r="P77" s="9"/>
      <c r="Q77" s="9"/>
    </row>
    <row r="78" spans="2:19">
      <c r="B78" s="28" t="s">
        <v>343</v>
      </c>
      <c r="E78" t="s">
        <v>344</v>
      </c>
      <c r="G78" t="s">
        <v>173</v>
      </c>
      <c r="I78" s="9"/>
      <c r="L78" s="9"/>
      <c r="M78" s="9"/>
      <c r="N78" s="9"/>
      <c r="O78" s="9"/>
      <c r="P78" s="9"/>
      <c r="Q78" s="9"/>
      <c r="R78" t="s">
        <v>345</v>
      </c>
    </row>
    <row r="79" spans="2:19">
      <c r="B79" s="28" t="s">
        <v>346</v>
      </c>
      <c r="G79" t="s">
        <v>173</v>
      </c>
      <c r="I79" s="9">
        <v>7181</v>
      </c>
      <c r="L79" s="9"/>
      <c r="M79" s="9"/>
      <c r="N79" s="9"/>
      <c r="O79" s="9"/>
      <c r="P79" s="9"/>
      <c r="Q79" s="9"/>
    </row>
  </sheetData>
  <hyperlinks>
    <hyperlink ref="R2" r:id="rId1" xr:uid="{76F4BD42-1C86-4A75-8A2B-BD61C3290152}"/>
    <hyperlink ref="R3" r:id="rId2" xr:uid="{AA1652AD-9B7D-4D96-BBB4-5C69154C3774}"/>
    <hyperlink ref="R4" r:id="rId3" display="https://reply.sharepoint.com/:x:/r/sites/University-stimeepiani/_layouts/15/Doc2.aspx?action=edit&amp;sourcedoc=%7B814f46cf-623e-4a2b-aba7-0e848fadedd0%7D&amp;wdOrigin=TEAMS-MAGLEV.teamsSdk_ns.rwc&amp;wdExp=TEAMS-TREATMENT&amp;wdhostclicktime=1734018141064&amp;web=1&amp;ovuser=b00367e2-193a-4f48-94de-7245d45c0947%2Cm.verzeletti%40reply.it&amp;clickparams=eyJBcHBOYW1lIjoiVGVhbXMtRGVza3RvcCIsIkFwcFZlcnNpb24iOiI1MC8yNDExMDExNTcyMiIsIkhhc0ZlZGVyYXRlZFVzZXIiOmZhbHNlfQ%3D%3D" xr:uid="{9F3C2824-6C22-49AA-B57A-45A698E503BF}"/>
    <hyperlink ref="R5" r:id="rId4" xr:uid="{4A64D46D-F3B0-41EC-BD16-F26E76C4FFDA}"/>
    <hyperlink ref="R6" r:id="rId5" xr:uid="{E44AB13B-2925-4EFE-8CEE-53E9AACA8125}"/>
    <hyperlink ref="S6" r:id="rId6" xr:uid="{B706D2A3-4522-40E0-BFA4-7CC63ADB638E}"/>
    <hyperlink ref="R8" r:id="rId7" xr:uid="{285BD03A-F4C5-4465-99D6-8A91DA387E9A}"/>
    <hyperlink ref="R9" r:id="rId8" xr:uid="{053148EB-C4E8-4909-A358-F63AAA3C9B1A}"/>
    <hyperlink ref="R10" r:id="rId9" xr:uid="{3EEE1ED3-1B6C-4EC1-9AAD-B9A264E2E8AD}"/>
    <hyperlink ref="R11" r:id="rId10" xr:uid="{DE5A23F0-162F-42CB-A9AA-9F656B07CFC0}"/>
    <hyperlink ref="R12" r:id="rId11" xr:uid="{8DDE23E8-E6D6-4601-8ACD-A04BA3C2AE8D}"/>
    <hyperlink ref="R13" r:id="rId12" xr:uid="{1AFF1DCA-8F14-47A7-A232-04C6E7236C82}"/>
    <hyperlink ref="R14" r:id="rId13" xr:uid="{DC46B834-4B57-4B73-9AE1-E60BC4CCDEEA}"/>
    <hyperlink ref="R15" r:id="rId14" xr:uid="{93C7C368-26F1-415A-9038-4F0B799EA2C6}"/>
    <hyperlink ref="R16" r:id="rId15" xr:uid="{9571A34D-67A1-46E3-8DED-629E112E1738}"/>
    <hyperlink ref="R17" r:id="rId16" xr:uid="{8C450B01-48FC-456F-80D9-852952B4080A}"/>
    <hyperlink ref="R18" r:id="rId17" xr:uid="{9C4ABC2B-0439-49F3-BDD5-B9850131EECB}"/>
    <hyperlink ref="R19" r:id="rId18" xr:uid="{3C934590-38D8-4FAF-9F03-0D7CD04CF199}"/>
    <hyperlink ref="R20" r:id="rId19" xr:uid="{1D6CA3DB-A7C4-4C52-919B-E141A9C043E8}"/>
    <hyperlink ref="R21" r:id="rId20" xr:uid="{433D62BD-3BA5-4960-9747-4C4FAB7B3584}"/>
    <hyperlink ref="R22" r:id="rId21" xr:uid="{18CA6CCB-AD7B-48CF-95C6-7E83CA4299D6}"/>
    <hyperlink ref="R23" r:id="rId22" xr:uid="{7069B0BF-4EC5-44F4-A4D6-41743126F503}"/>
    <hyperlink ref="R25" r:id="rId23" display="https://reply.sharepoint.com/:x:/r/sites/University-stimeepiani/_layouts/15/Doc2.aspx?action=edit&amp;sourcedoc=%7B8ab7003c-b42e-4054-a7b9-bf9159d9ea4b%7D&amp;wdOrigin=TEAMS-MAGLEV.teamsSdk_ns.rwc&amp;wdExp=TEAMS-TREATMENT&amp;wdhostclicktime=1736873121548&amp;web=1&amp;clickparams=eyJBcHBOYW1lIjoiVGVhbXMtRGVza3RvcCIsIkFwcFZlcnNpb24iOiI1MC8yNDEyMDEwMDIxMyJ9" xr:uid="{8824A2CA-FA01-40D5-BA7A-7D93C8145CCC}"/>
    <hyperlink ref="R26" r:id="rId24" display="https://reply.sharepoint.com/:x:/r/sites/University-stimeepiani/_layouts/15/Doc2.aspx?action=edit&amp;sourcedoc=%7B04620e5a-ee7e-4e8b-abce-06ae10e09ecc%7D&amp;wdOrigin=TEAMS-MAGLEV.teamsSdk_ns.rwc&amp;wdExp=TEAMS-TREATMENT&amp;wdhostclicktime=1741714743184&amp;web=1&amp;ovuser=b00367e2-193a-4f48-94de-7245d45c0947%2Cm.verzeletti%40reply.it&amp;clickparams=eyJBcHBOYW1lIjoiVGVhbXMtRGVza3RvcCIsIkFwcFZlcnNpb24iOiI1MC8yNTAyMTQwMDkxMiIsIkhhc0ZlZGVyYXRlZFVzZXIiOmZhbHNlfQ%3D%3D" xr:uid="{B999224E-6C80-4A13-A438-0A3523B2A278}"/>
    <hyperlink ref="R27" r:id="rId25" xr:uid="{A164C13E-3674-4396-B484-42CF2EE11DD9}"/>
    <hyperlink ref="R28" r:id="rId26" xr:uid="{D7510670-AF4E-48B4-A9D6-A52C67A30DC5}"/>
    <hyperlink ref="R30" r:id="rId27" xr:uid="{3CD212C5-5EB9-4507-99A3-047F37FBF2BE}"/>
    <hyperlink ref="T31" r:id="rId28" xr:uid="{A434E189-8EEF-468F-BB78-5CA08C9598DE}"/>
    <hyperlink ref="S31" r:id="rId29" xr:uid="{C8B18D28-C9D6-495F-8F03-03874FF61ECE}"/>
    <hyperlink ref="R31" r:id="rId30" xr:uid="{6E51C4B7-1BA1-4572-A2BE-EC6247B632A8}"/>
    <hyperlink ref="R32" r:id="rId31" xr:uid="{D4C97331-439E-4E00-B1C3-FC9A8B6B7F2C}"/>
    <hyperlink ref="R34" r:id="rId32" xr:uid="{331A1B1E-0EF6-43EB-AE82-6F1BF8ACC082}"/>
    <hyperlink ref="R35" r:id="rId33" xr:uid="{B0566000-A93A-4379-9504-0CB0AA5C36FE}"/>
    <hyperlink ref="R36" r:id="rId34" xr:uid="{D10D497A-0879-45FC-9D68-82487D8A438B}"/>
    <hyperlink ref="R37" r:id="rId35" xr:uid="{1A6B7FCA-95DE-4AB0-AB49-A27F352C15F2}"/>
    <hyperlink ref="R39" r:id="rId36" xr:uid="{83838348-64E2-4E0E-85AF-62A2F9E877D1}"/>
    <hyperlink ref="S40" r:id="rId37" xr:uid="{7DD95A0F-9573-4736-9F4F-C9F1EA1D15D3}"/>
    <hyperlink ref="R40" r:id="rId38" xr:uid="{E67B7682-5666-42B8-8671-A6FCB49AB4D0}"/>
    <hyperlink ref="R41" r:id="rId39" xr:uid="{A11D2323-6B70-42B6-A4F1-8C1155A31511}"/>
    <hyperlink ref="R42" r:id="rId40" xr:uid="{67C4B55E-98C0-440D-BB81-8752AB93C851}"/>
    <hyperlink ref="R43" r:id="rId41" xr:uid="{4D962421-DFF1-4E74-83B4-701ED52D7910}"/>
    <hyperlink ref="R44" r:id="rId42" xr:uid="{58CB2D56-B497-4585-B287-363F20A94D42}"/>
    <hyperlink ref="R45" r:id="rId43" xr:uid="{4B5DCC26-B8F5-4351-9434-D44846EB4F89}"/>
    <hyperlink ref="R46" r:id="rId44" xr:uid="{B202D339-0583-4DAA-AE01-FD68FCA65961}"/>
    <hyperlink ref="R47" r:id="rId45" xr:uid="{E08A434D-3CB3-421F-8E65-A277A5241527}"/>
    <hyperlink ref="R48" r:id="rId46" xr:uid="{FD8ED219-1DC5-43E7-948B-51425DF11E50}"/>
    <hyperlink ref="R49" r:id="rId47" xr:uid="{10F67438-535E-4B66-87A3-B48CFD902F3B}"/>
    <hyperlink ref="R50" r:id="rId48" xr:uid="{587D1FF5-E51B-419A-B5C4-8DB92C658A16}"/>
    <hyperlink ref="R51" r:id="rId49" xr:uid="{6372F1C0-2DFF-44CF-9E76-D5F2B2B65C78}"/>
    <hyperlink ref="R38" r:id="rId50" xr:uid="{86816631-EFFC-4FDC-9BAF-D8101902FF81}"/>
    <hyperlink ref="R52" r:id="rId51" xr:uid="{89AEF862-555A-4524-B56D-974B326F3955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89E70-7C19-48FB-89A4-1742CDC1BBC2}">
  <sheetPr>
    <tabColor theme="8" tint="0.59999389629810485"/>
  </sheetPr>
  <dimension ref="A1:J186"/>
  <sheetViews>
    <sheetView workbookViewId="0">
      <pane ySplit="1" topLeftCell="A153" activePane="bottomLeft" state="frozen"/>
      <selection pane="bottomLeft" activeCell="E197" sqref="E197"/>
    </sheetView>
  </sheetViews>
  <sheetFormatPr defaultRowHeight="15"/>
  <cols>
    <col min="2" max="2" width="30.7109375" bestFit="1" customWidth="1"/>
    <col min="3" max="3" width="61.85546875" bestFit="1" customWidth="1"/>
    <col min="4" max="4" width="10.28515625" bestFit="1" customWidth="1"/>
    <col min="5" max="5" width="49.5703125" bestFit="1" customWidth="1"/>
    <col min="6" max="6" width="61.85546875" bestFit="1" customWidth="1"/>
    <col min="7" max="7" width="16.42578125" style="32" customWidth="1"/>
    <col min="10" max="10" width="14.42578125" customWidth="1"/>
    <col min="13" max="13" width="14.42578125" bestFit="1" customWidth="1"/>
    <col min="14" max="14" width="12" bestFit="1" customWidth="1"/>
    <col min="15" max="15" width="12.140625" bestFit="1" customWidth="1"/>
    <col min="16" max="16" width="20.28515625" bestFit="1" customWidth="1"/>
    <col min="17" max="17" width="12.140625" bestFit="1" customWidth="1"/>
  </cols>
  <sheetData>
    <row r="1" spans="1:9" s="7" customFormat="1">
      <c r="A1" s="33" t="s">
        <v>0</v>
      </c>
      <c r="B1" s="33" t="s">
        <v>1</v>
      </c>
      <c r="C1" s="33" t="s">
        <v>347</v>
      </c>
      <c r="D1" s="38" t="s">
        <v>4</v>
      </c>
      <c r="E1" s="38" t="s">
        <v>348</v>
      </c>
      <c r="F1" s="38" t="s">
        <v>349</v>
      </c>
      <c r="G1" s="39" t="s">
        <v>160</v>
      </c>
      <c r="H1" s="36" t="s">
        <v>350</v>
      </c>
      <c r="I1" s="36" t="s">
        <v>351</v>
      </c>
    </row>
    <row r="2" spans="1:9" hidden="1">
      <c r="A2" s="8"/>
      <c r="B2" s="8"/>
      <c r="C2" s="8" t="s">
        <v>171</v>
      </c>
      <c r="D2" s="14" t="s">
        <v>352</v>
      </c>
      <c r="E2" s="14" t="s">
        <v>353</v>
      </c>
      <c r="F2" t="s">
        <v>10</v>
      </c>
      <c r="G2" s="32">
        <v>6450</v>
      </c>
      <c r="H2" s="8"/>
      <c r="I2" s="8"/>
    </row>
    <row r="3" spans="1:9" hidden="1">
      <c r="C3" s="8" t="s">
        <v>176</v>
      </c>
      <c r="D3" s="14" t="s">
        <v>352</v>
      </c>
      <c r="E3" s="14" t="s">
        <v>353</v>
      </c>
      <c r="F3" t="s">
        <v>10</v>
      </c>
      <c r="G3" s="32">
        <v>22360</v>
      </c>
      <c r="H3" s="8"/>
      <c r="I3" s="8"/>
    </row>
    <row r="4" spans="1:9" hidden="1">
      <c r="B4" s="21" t="s">
        <v>354</v>
      </c>
      <c r="C4" s="8" t="s">
        <v>179</v>
      </c>
      <c r="D4" s="14" t="s">
        <v>352</v>
      </c>
      <c r="E4" s="14" t="s">
        <v>355</v>
      </c>
      <c r="F4" t="s">
        <v>10</v>
      </c>
      <c r="G4" s="32">
        <v>3440</v>
      </c>
      <c r="H4" s="8"/>
      <c r="I4" s="8"/>
    </row>
    <row r="5" spans="1:9" hidden="1">
      <c r="C5" s="8" t="s">
        <v>176</v>
      </c>
      <c r="D5" t="s">
        <v>352</v>
      </c>
      <c r="E5" s="14" t="s">
        <v>356</v>
      </c>
      <c r="F5" t="s">
        <v>10</v>
      </c>
      <c r="G5" s="32">
        <v>2580</v>
      </c>
      <c r="H5" s="8"/>
      <c r="I5" s="8"/>
    </row>
    <row r="6" spans="1:9" hidden="1">
      <c r="C6" s="8" t="s">
        <v>179</v>
      </c>
      <c r="D6" t="s">
        <v>352</v>
      </c>
      <c r="E6" s="14" t="s">
        <v>357</v>
      </c>
      <c r="F6" t="s">
        <v>10</v>
      </c>
      <c r="G6" s="32">
        <v>10750</v>
      </c>
      <c r="H6" s="8"/>
      <c r="I6" s="8"/>
    </row>
    <row r="7" spans="1:9" hidden="1">
      <c r="C7" t="s">
        <v>182</v>
      </c>
      <c r="D7" t="s">
        <v>352</v>
      </c>
      <c r="E7" t="s">
        <v>353</v>
      </c>
      <c r="F7" t="s">
        <v>14</v>
      </c>
      <c r="G7" s="32">
        <v>2365</v>
      </c>
    </row>
    <row r="8" spans="1:9" hidden="1">
      <c r="C8" t="s">
        <v>182</v>
      </c>
      <c r="D8" t="s">
        <v>352</v>
      </c>
      <c r="E8" s="14" t="s">
        <v>356</v>
      </c>
      <c r="F8" t="s">
        <v>14</v>
      </c>
      <c r="G8" s="32">
        <v>645</v>
      </c>
    </row>
    <row r="9" spans="1:9" hidden="1">
      <c r="C9" s="8" t="s">
        <v>14</v>
      </c>
      <c r="D9" t="s">
        <v>352</v>
      </c>
      <c r="E9" t="s">
        <v>353</v>
      </c>
      <c r="F9" t="s">
        <v>14</v>
      </c>
      <c r="G9" s="32">
        <v>9755</v>
      </c>
    </row>
    <row r="10" spans="1:9" hidden="1">
      <c r="C10" s="8" t="s">
        <v>14</v>
      </c>
      <c r="D10" t="s">
        <v>352</v>
      </c>
      <c r="E10" t="s">
        <v>358</v>
      </c>
      <c r="F10" t="s">
        <v>14</v>
      </c>
      <c r="G10" s="32">
        <v>1500</v>
      </c>
    </row>
    <row r="11" spans="1:9" hidden="1">
      <c r="C11" s="8" t="s">
        <v>14</v>
      </c>
      <c r="D11" t="s">
        <v>352</v>
      </c>
      <c r="E11" t="s">
        <v>359</v>
      </c>
      <c r="F11" t="s">
        <v>14</v>
      </c>
      <c r="G11" s="32">
        <v>1150</v>
      </c>
    </row>
    <row r="12" spans="1:9" hidden="1">
      <c r="B12" t="s">
        <v>360</v>
      </c>
      <c r="C12" s="8" t="s">
        <v>14</v>
      </c>
      <c r="D12" t="s">
        <v>352</v>
      </c>
      <c r="E12" s="14" t="s">
        <v>355</v>
      </c>
      <c r="F12" t="s">
        <v>14</v>
      </c>
      <c r="G12" s="32">
        <v>8240</v>
      </c>
    </row>
    <row r="13" spans="1:9" hidden="1">
      <c r="C13" s="8" t="s">
        <v>14</v>
      </c>
      <c r="D13" t="s">
        <v>352</v>
      </c>
      <c r="E13" s="14" t="s">
        <v>361</v>
      </c>
      <c r="F13" t="s">
        <v>14</v>
      </c>
      <c r="G13" s="32">
        <v>1500</v>
      </c>
    </row>
    <row r="14" spans="1:9" hidden="1">
      <c r="C14" s="8" t="s">
        <v>186</v>
      </c>
      <c r="D14" t="s">
        <v>352</v>
      </c>
      <c r="E14" t="s">
        <v>358</v>
      </c>
      <c r="F14" t="s">
        <v>14</v>
      </c>
      <c r="G14" s="32">
        <v>500</v>
      </c>
    </row>
    <row r="15" spans="1:9" hidden="1">
      <c r="C15" s="8" t="s">
        <v>186</v>
      </c>
      <c r="D15" t="s">
        <v>352</v>
      </c>
      <c r="E15" t="s">
        <v>359</v>
      </c>
      <c r="F15" t="s">
        <v>14</v>
      </c>
      <c r="G15" s="32">
        <v>1050</v>
      </c>
    </row>
    <row r="16" spans="1:9" hidden="1">
      <c r="C16" s="8" t="s">
        <v>186</v>
      </c>
      <c r="D16" t="s">
        <v>352</v>
      </c>
      <c r="E16" s="14" t="s">
        <v>357</v>
      </c>
      <c r="F16" t="s">
        <v>14</v>
      </c>
      <c r="G16" s="32">
        <v>550</v>
      </c>
    </row>
    <row r="17" spans="2:10" hidden="1">
      <c r="C17" s="8" t="s">
        <v>186</v>
      </c>
      <c r="D17" t="s">
        <v>352</v>
      </c>
      <c r="E17" s="14" t="s">
        <v>356</v>
      </c>
      <c r="F17" t="s">
        <v>14</v>
      </c>
      <c r="G17" s="32">
        <v>700</v>
      </c>
    </row>
    <row r="18" spans="2:10" hidden="1">
      <c r="B18" t="s">
        <v>362</v>
      </c>
      <c r="C18" s="8" t="s">
        <v>187</v>
      </c>
      <c r="D18" t="s">
        <v>352</v>
      </c>
      <c r="E18" t="s">
        <v>355</v>
      </c>
      <c r="F18" t="s">
        <v>14</v>
      </c>
      <c r="G18" s="32">
        <v>2730</v>
      </c>
      <c r="J18" s="32"/>
    </row>
    <row r="19" spans="2:10" hidden="1">
      <c r="C19" s="8" t="s">
        <v>187</v>
      </c>
      <c r="D19" t="s">
        <v>352</v>
      </c>
      <c r="E19" s="14" t="s">
        <v>361</v>
      </c>
      <c r="F19" t="s">
        <v>14</v>
      </c>
      <c r="G19" s="32">
        <v>2000</v>
      </c>
    </row>
    <row r="20" spans="2:10" hidden="1">
      <c r="C20" s="8" t="s">
        <v>363</v>
      </c>
      <c r="D20" t="s">
        <v>352</v>
      </c>
      <c r="E20" t="s">
        <v>364</v>
      </c>
      <c r="F20" t="s">
        <v>14</v>
      </c>
      <c r="G20" s="32">
        <v>2150</v>
      </c>
    </row>
    <row r="21" spans="2:10" hidden="1">
      <c r="C21" s="8" t="s">
        <v>365</v>
      </c>
      <c r="D21" t="s">
        <v>352</v>
      </c>
      <c r="E21" t="s">
        <v>364</v>
      </c>
      <c r="F21" t="s">
        <v>14</v>
      </c>
      <c r="G21" s="32">
        <v>7310</v>
      </c>
    </row>
    <row r="22" spans="2:10" hidden="1">
      <c r="C22" s="8" t="s">
        <v>189</v>
      </c>
      <c r="D22" t="s">
        <v>352</v>
      </c>
      <c r="E22" t="s">
        <v>353</v>
      </c>
      <c r="F22" t="s">
        <v>16</v>
      </c>
      <c r="G22" s="32">
        <v>20000</v>
      </c>
    </row>
    <row r="23" spans="2:10" hidden="1">
      <c r="C23" s="8" t="s">
        <v>189</v>
      </c>
      <c r="D23" t="s">
        <v>352</v>
      </c>
      <c r="E23" s="14" t="s">
        <v>356</v>
      </c>
      <c r="F23" t="s">
        <v>16</v>
      </c>
      <c r="G23" s="32">
        <v>8230</v>
      </c>
    </row>
    <row r="24" spans="2:10" hidden="1">
      <c r="C24" t="s">
        <v>195</v>
      </c>
      <c r="D24" t="s">
        <v>352</v>
      </c>
      <c r="E24" t="s">
        <v>364</v>
      </c>
      <c r="F24" t="s">
        <v>16</v>
      </c>
      <c r="G24" s="32">
        <v>2150</v>
      </c>
    </row>
    <row r="25" spans="2:10" hidden="1">
      <c r="C25" s="8" t="s">
        <v>192</v>
      </c>
      <c r="D25" t="s">
        <v>352</v>
      </c>
      <c r="E25" t="s">
        <v>364</v>
      </c>
      <c r="F25" t="s">
        <v>16</v>
      </c>
      <c r="G25" s="32">
        <v>11180</v>
      </c>
    </row>
    <row r="26" spans="2:10" hidden="1">
      <c r="B26" t="s">
        <v>366</v>
      </c>
      <c r="C26" t="s">
        <v>18</v>
      </c>
      <c r="D26" t="s">
        <v>352</v>
      </c>
      <c r="E26" t="s">
        <v>355</v>
      </c>
      <c r="F26" s="21" t="s">
        <v>18</v>
      </c>
      <c r="G26" s="32">
        <v>6880</v>
      </c>
    </row>
    <row r="27" spans="2:10" hidden="1">
      <c r="B27" t="s">
        <v>367</v>
      </c>
      <c r="C27" t="s">
        <v>18</v>
      </c>
      <c r="D27" t="s">
        <v>352</v>
      </c>
      <c r="E27" s="14" t="s">
        <v>368</v>
      </c>
      <c r="F27" s="21" t="s">
        <v>18</v>
      </c>
      <c r="G27" s="32">
        <v>8170</v>
      </c>
    </row>
    <row r="28" spans="2:10" hidden="1">
      <c r="B28" t="s">
        <v>366</v>
      </c>
      <c r="C28" s="21" t="s">
        <v>369</v>
      </c>
      <c r="D28" t="s">
        <v>352</v>
      </c>
      <c r="E28" t="s">
        <v>355</v>
      </c>
      <c r="F28" s="21" t="s">
        <v>18</v>
      </c>
      <c r="G28" s="32">
        <v>10000</v>
      </c>
    </row>
    <row r="29" spans="2:10" hidden="1">
      <c r="B29" t="s">
        <v>366</v>
      </c>
      <c r="C29" s="21" t="s">
        <v>370</v>
      </c>
      <c r="D29" t="s">
        <v>352</v>
      </c>
      <c r="E29" t="s">
        <v>355</v>
      </c>
      <c r="F29" s="21" t="s">
        <v>18</v>
      </c>
      <c r="G29" s="32">
        <v>670</v>
      </c>
      <c r="J29" s="32"/>
    </row>
    <row r="30" spans="2:10" hidden="1">
      <c r="B30" t="s">
        <v>371</v>
      </c>
      <c r="C30" s="21" t="s">
        <v>372</v>
      </c>
      <c r="D30" t="s">
        <v>352</v>
      </c>
      <c r="E30" t="s">
        <v>373</v>
      </c>
      <c r="F30" s="21" t="s">
        <v>18</v>
      </c>
      <c r="G30" s="32">
        <v>510</v>
      </c>
    </row>
    <row r="31" spans="2:10" hidden="1">
      <c r="C31" s="8" t="s">
        <v>199</v>
      </c>
      <c r="D31" t="s">
        <v>352</v>
      </c>
      <c r="E31" s="14" t="s">
        <v>357</v>
      </c>
      <c r="F31" t="s">
        <v>20</v>
      </c>
      <c r="G31" s="32">
        <v>6665</v>
      </c>
    </row>
    <row r="32" spans="2:10" hidden="1">
      <c r="B32" t="s">
        <v>374</v>
      </c>
      <c r="C32" s="8" t="s">
        <v>201</v>
      </c>
      <c r="D32" t="s">
        <v>352</v>
      </c>
      <c r="E32" t="s">
        <v>355</v>
      </c>
      <c r="F32" t="s">
        <v>20</v>
      </c>
      <c r="G32" s="32">
        <v>8600</v>
      </c>
    </row>
    <row r="33" spans="2:10" hidden="1">
      <c r="B33" t="s">
        <v>374</v>
      </c>
      <c r="C33" s="8" t="s">
        <v>199</v>
      </c>
      <c r="D33" t="s">
        <v>352</v>
      </c>
      <c r="E33" t="s">
        <v>355</v>
      </c>
      <c r="F33" t="s">
        <v>20</v>
      </c>
      <c r="G33" s="32">
        <v>1720</v>
      </c>
      <c r="J33" s="32"/>
    </row>
    <row r="34" spans="2:10" hidden="1">
      <c r="C34" t="s">
        <v>203</v>
      </c>
      <c r="D34" t="s">
        <v>352</v>
      </c>
      <c r="E34" t="s">
        <v>364</v>
      </c>
      <c r="F34" s="21" t="s">
        <v>22</v>
      </c>
      <c r="G34" s="32">
        <v>4300</v>
      </c>
    </row>
    <row r="35" spans="2:10" hidden="1">
      <c r="B35" t="s">
        <v>375</v>
      </c>
      <c r="C35" t="s">
        <v>203</v>
      </c>
      <c r="D35" t="s">
        <v>352</v>
      </c>
      <c r="E35" t="s">
        <v>373</v>
      </c>
      <c r="F35" s="21" t="s">
        <v>22</v>
      </c>
      <c r="G35" s="32">
        <v>430</v>
      </c>
    </row>
    <row r="36" spans="2:10" hidden="1">
      <c r="B36" t="s">
        <v>375</v>
      </c>
      <c r="C36" s="8" t="s">
        <v>205</v>
      </c>
      <c r="D36" t="s">
        <v>352</v>
      </c>
      <c r="E36" t="s">
        <v>373</v>
      </c>
      <c r="F36" s="21" t="s">
        <v>22</v>
      </c>
      <c r="G36" s="32">
        <v>4730</v>
      </c>
    </row>
    <row r="37" spans="2:10" hidden="1">
      <c r="C37" s="8" t="s">
        <v>205</v>
      </c>
      <c r="D37" t="s">
        <v>352</v>
      </c>
      <c r="E37" t="s">
        <v>364</v>
      </c>
      <c r="F37" s="21" t="s">
        <v>22</v>
      </c>
      <c r="G37" s="32">
        <v>10320</v>
      </c>
    </row>
    <row r="38" spans="2:10" hidden="1">
      <c r="B38" t="s">
        <v>376</v>
      </c>
      <c r="C38" s="8" t="s">
        <v>205</v>
      </c>
      <c r="D38" t="s">
        <v>352</v>
      </c>
      <c r="E38" s="14" t="s">
        <v>368</v>
      </c>
      <c r="F38" s="21" t="s">
        <v>22</v>
      </c>
      <c r="G38" s="32">
        <v>9660</v>
      </c>
    </row>
    <row r="39" spans="2:10" hidden="1">
      <c r="C39" s="8" t="s">
        <v>207</v>
      </c>
      <c r="D39" t="s">
        <v>352</v>
      </c>
      <c r="E39" t="s">
        <v>353</v>
      </c>
      <c r="F39" t="s">
        <v>207</v>
      </c>
      <c r="G39" s="32">
        <v>14910</v>
      </c>
    </row>
    <row r="40" spans="2:10" hidden="1">
      <c r="B40" t="s">
        <v>377</v>
      </c>
      <c r="C40" s="8" t="s">
        <v>207</v>
      </c>
      <c r="D40" t="s">
        <v>352</v>
      </c>
      <c r="E40" t="s">
        <v>355</v>
      </c>
      <c r="F40" t="s">
        <v>207</v>
      </c>
      <c r="G40" s="32">
        <v>7955</v>
      </c>
    </row>
    <row r="41" spans="2:10" hidden="1">
      <c r="B41" t="s">
        <v>378</v>
      </c>
      <c r="C41" s="8" t="s">
        <v>207</v>
      </c>
      <c r="D41" t="s">
        <v>352</v>
      </c>
      <c r="E41" s="14" t="s">
        <v>368</v>
      </c>
      <c r="F41" t="s">
        <v>207</v>
      </c>
      <c r="G41" s="32">
        <v>15265</v>
      </c>
    </row>
    <row r="42" spans="2:10" hidden="1">
      <c r="B42" t="s">
        <v>378</v>
      </c>
      <c r="C42" s="8" t="s">
        <v>210</v>
      </c>
      <c r="D42" t="s">
        <v>352</v>
      </c>
      <c r="E42" s="14" t="s">
        <v>368</v>
      </c>
      <c r="F42" t="s">
        <v>24</v>
      </c>
      <c r="G42" s="32">
        <v>7310</v>
      </c>
    </row>
    <row r="43" spans="2:10" hidden="1">
      <c r="C43" s="21" t="s">
        <v>211</v>
      </c>
      <c r="D43" t="s">
        <v>352</v>
      </c>
      <c r="E43" t="s">
        <v>379</v>
      </c>
      <c r="F43" t="s">
        <v>24</v>
      </c>
      <c r="G43" s="32">
        <v>5000</v>
      </c>
    </row>
    <row r="44" spans="2:10" hidden="1">
      <c r="B44" t="s">
        <v>380</v>
      </c>
      <c r="C44" s="21" t="s">
        <v>372</v>
      </c>
      <c r="D44" t="s">
        <v>352</v>
      </c>
      <c r="E44" t="s">
        <v>373</v>
      </c>
      <c r="F44" t="s">
        <v>26</v>
      </c>
      <c r="G44" s="32">
        <v>910</v>
      </c>
    </row>
    <row r="45" spans="2:10" hidden="1">
      <c r="C45" s="21" t="s">
        <v>211</v>
      </c>
      <c r="D45" t="s">
        <v>352</v>
      </c>
      <c r="E45" t="s">
        <v>353</v>
      </c>
      <c r="F45" t="s">
        <v>26</v>
      </c>
      <c r="G45" s="32">
        <v>26800</v>
      </c>
    </row>
    <row r="46" spans="2:10" hidden="1">
      <c r="C46" s="21" t="s">
        <v>211</v>
      </c>
      <c r="D46" t="s">
        <v>352</v>
      </c>
      <c r="E46" t="s">
        <v>379</v>
      </c>
      <c r="F46" t="s">
        <v>26</v>
      </c>
      <c r="G46" s="32">
        <v>14250</v>
      </c>
    </row>
    <row r="47" spans="2:10" hidden="1">
      <c r="B47" t="s">
        <v>381</v>
      </c>
      <c r="C47" s="21" t="s">
        <v>211</v>
      </c>
      <c r="D47" t="s">
        <v>352</v>
      </c>
      <c r="E47" t="s">
        <v>355</v>
      </c>
      <c r="F47" t="s">
        <v>26</v>
      </c>
      <c r="G47" s="32">
        <v>7920</v>
      </c>
    </row>
    <row r="48" spans="2:10" hidden="1">
      <c r="C48" s="21" t="s">
        <v>211</v>
      </c>
      <c r="D48" t="s">
        <v>352</v>
      </c>
      <c r="E48" t="s">
        <v>379</v>
      </c>
      <c r="F48" t="s">
        <v>28</v>
      </c>
      <c r="G48" s="32">
        <v>13000</v>
      </c>
    </row>
    <row r="49" spans="2:7" hidden="1">
      <c r="B49" t="s">
        <v>382</v>
      </c>
      <c r="C49" s="8" t="s">
        <v>213</v>
      </c>
      <c r="D49" t="s">
        <v>352</v>
      </c>
      <c r="E49" t="s">
        <v>368</v>
      </c>
      <c r="F49" t="s">
        <v>28</v>
      </c>
      <c r="G49" s="32">
        <v>5375</v>
      </c>
    </row>
    <row r="50" spans="2:7" hidden="1">
      <c r="B50" t="s">
        <v>383</v>
      </c>
      <c r="C50" s="8" t="s">
        <v>213</v>
      </c>
      <c r="D50" t="s">
        <v>352</v>
      </c>
      <c r="E50" t="s">
        <v>355</v>
      </c>
      <c r="F50" t="s">
        <v>28</v>
      </c>
      <c r="G50" s="32">
        <v>19565</v>
      </c>
    </row>
    <row r="51" spans="2:7" hidden="1">
      <c r="B51" t="s">
        <v>384</v>
      </c>
      <c r="C51" s="8" t="s">
        <v>215</v>
      </c>
      <c r="D51" t="s">
        <v>352</v>
      </c>
      <c r="E51" t="s">
        <v>355</v>
      </c>
      <c r="F51" t="s">
        <v>30</v>
      </c>
      <c r="G51" s="32">
        <v>26445</v>
      </c>
    </row>
    <row r="52" spans="2:7" hidden="1">
      <c r="C52" s="8" t="s">
        <v>215</v>
      </c>
      <c r="D52" t="s">
        <v>352</v>
      </c>
      <c r="E52" t="s">
        <v>379</v>
      </c>
      <c r="F52" t="s">
        <v>30</v>
      </c>
      <c r="G52" s="32">
        <v>3517</v>
      </c>
    </row>
    <row r="53" spans="2:7" hidden="1">
      <c r="B53" t="s">
        <v>385</v>
      </c>
      <c r="C53" s="8" t="s">
        <v>215</v>
      </c>
      <c r="D53" t="s">
        <v>352</v>
      </c>
      <c r="E53" t="s">
        <v>368</v>
      </c>
      <c r="F53" t="s">
        <v>30</v>
      </c>
      <c r="G53" s="32">
        <v>17338</v>
      </c>
    </row>
    <row r="54" spans="2:7" hidden="1">
      <c r="C54" s="8" t="s">
        <v>218</v>
      </c>
      <c r="D54" t="s">
        <v>352</v>
      </c>
      <c r="E54" t="s">
        <v>353</v>
      </c>
      <c r="F54" s="21" t="s">
        <v>32</v>
      </c>
      <c r="G54" s="32">
        <f>42570-800</f>
        <v>41770</v>
      </c>
    </row>
    <row r="55" spans="2:7" hidden="1">
      <c r="C55" s="8" t="s">
        <v>372</v>
      </c>
      <c r="D55" t="s">
        <v>352</v>
      </c>
      <c r="E55" t="s">
        <v>353</v>
      </c>
      <c r="F55" s="21" t="s">
        <v>32</v>
      </c>
      <c r="G55" s="32">
        <v>800</v>
      </c>
    </row>
    <row r="56" spans="2:7" hidden="1">
      <c r="C56" s="8" t="s">
        <v>218</v>
      </c>
      <c r="D56" t="s">
        <v>352</v>
      </c>
      <c r="E56" s="14" t="s">
        <v>357</v>
      </c>
      <c r="F56" s="21" t="s">
        <v>32</v>
      </c>
      <c r="G56" s="32">
        <v>6450</v>
      </c>
    </row>
    <row r="57" spans="2:7" hidden="1">
      <c r="C57" s="8" t="s">
        <v>218</v>
      </c>
      <c r="D57" t="s">
        <v>352</v>
      </c>
      <c r="E57" t="s">
        <v>353</v>
      </c>
      <c r="F57" t="s">
        <v>34</v>
      </c>
      <c r="G57" s="32">
        <v>18030</v>
      </c>
    </row>
    <row r="58" spans="2:7" hidden="1">
      <c r="C58" s="8" t="s">
        <v>220</v>
      </c>
      <c r="D58" t="s">
        <v>352</v>
      </c>
      <c r="E58" t="s">
        <v>379</v>
      </c>
      <c r="F58" t="s">
        <v>34</v>
      </c>
      <c r="G58" s="32">
        <v>860</v>
      </c>
    </row>
    <row r="59" spans="2:7" hidden="1">
      <c r="B59" t="s">
        <v>386</v>
      </c>
      <c r="C59" s="8" t="s">
        <v>220</v>
      </c>
      <c r="D59" t="s">
        <v>352</v>
      </c>
      <c r="E59" t="s">
        <v>355</v>
      </c>
      <c r="F59" t="s">
        <v>34</v>
      </c>
      <c r="G59" s="32">
        <v>3870</v>
      </c>
    </row>
    <row r="60" spans="2:7" hidden="1">
      <c r="B60" t="s">
        <v>387</v>
      </c>
      <c r="C60" s="12" t="s">
        <v>222</v>
      </c>
      <c r="D60" t="s">
        <v>352</v>
      </c>
      <c r="E60" t="s">
        <v>373</v>
      </c>
      <c r="F60" t="s">
        <v>34</v>
      </c>
      <c r="G60" s="32">
        <v>17800</v>
      </c>
    </row>
    <row r="61" spans="2:7" hidden="1">
      <c r="B61" t="s">
        <v>388</v>
      </c>
      <c r="C61" s="8" t="s">
        <v>36</v>
      </c>
      <c r="D61" t="s">
        <v>352</v>
      </c>
      <c r="E61" t="s">
        <v>368</v>
      </c>
      <c r="F61" t="s">
        <v>36</v>
      </c>
      <c r="G61" s="32">
        <v>11610</v>
      </c>
    </row>
    <row r="62" spans="2:7" hidden="1">
      <c r="B62" t="s">
        <v>389</v>
      </c>
      <c r="C62" s="8" t="s">
        <v>36</v>
      </c>
      <c r="D62" t="s">
        <v>352</v>
      </c>
      <c r="E62" t="s">
        <v>355</v>
      </c>
      <c r="F62" t="s">
        <v>36</v>
      </c>
      <c r="G62" s="32">
        <v>6450</v>
      </c>
    </row>
    <row r="63" spans="2:7" hidden="1">
      <c r="B63" t="s">
        <v>390</v>
      </c>
      <c r="C63" s="8" t="s">
        <v>224</v>
      </c>
      <c r="D63" t="s">
        <v>352</v>
      </c>
      <c r="E63" t="s">
        <v>355</v>
      </c>
      <c r="F63" t="s">
        <v>36</v>
      </c>
      <c r="G63" s="32">
        <v>4300</v>
      </c>
    </row>
    <row r="64" spans="2:7" hidden="1">
      <c r="B64" t="s">
        <v>391</v>
      </c>
      <c r="C64" s="8" t="s">
        <v>229</v>
      </c>
      <c r="D64" t="s">
        <v>352</v>
      </c>
      <c r="E64" s="14" t="s">
        <v>368</v>
      </c>
      <c r="F64" t="s">
        <v>38</v>
      </c>
      <c r="G64" s="32">
        <v>600</v>
      </c>
    </row>
    <row r="65" spans="2:7" hidden="1">
      <c r="C65" s="8" t="s">
        <v>229</v>
      </c>
      <c r="D65" t="s">
        <v>352</v>
      </c>
      <c r="E65" s="14" t="s">
        <v>357</v>
      </c>
      <c r="F65" t="s">
        <v>38</v>
      </c>
      <c r="G65" s="32">
        <v>860</v>
      </c>
    </row>
    <row r="66" spans="2:7" hidden="1">
      <c r="C66" s="30" t="s">
        <v>38</v>
      </c>
      <c r="D66" t="s">
        <v>352</v>
      </c>
      <c r="E66" t="s">
        <v>364</v>
      </c>
      <c r="F66" t="s">
        <v>38</v>
      </c>
      <c r="G66" s="32">
        <v>25800</v>
      </c>
    </row>
    <row r="67" spans="2:7" hidden="1">
      <c r="C67" s="29" t="s">
        <v>227</v>
      </c>
      <c r="D67" t="s">
        <v>352</v>
      </c>
      <c r="E67" t="s">
        <v>364</v>
      </c>
      <c r="F67" t="s">
        <v>38</v>
      </c>
      <c r="G67" s="32">
        <v>5590</v>
      </c>
    </row>
    <row r="68" spans="2:7" hidden="1">
      <c r="B68" t="s">
        <v>392</v>
      </c>
      <c r="C68" s="30" t="s">
        <v>227</v>
      </c>
      <c r="D68" t="s">
        <v>352</v>
      </c>
      <c r="E68" t="s">
        <v>355</v>
      </c>
      <c r="F68" t="s">
        <v>38</v>
      </c>
      <c r="G68" s="32">
        <v>430</v>
      </c>
    </row>
    <row r="69" spans="2:7" hidden="1">
      <c r="B69" t="s">
        <v>392</v>
      </c>
      <c r="C69" s="29" t="s">
        <v>229</v>
      </c>
      <c r="D69" t="s">
        <v>352</v>
      </c>
      <c r="E69" t="s">
        <v>355</v>
      </c>
      <c r="F69" t="s">
        <v>38</v>
      </c>
      <c r="G69" s="32">
        <v>1340</v>
      </c>
    </row>
    <row r="70" spans="2:7" hidden="1">
      <c r="B70" t="s">
        <v>393</v>
      </c>
      <c r="C70" s="8" t="s">
        <v>40</v>
      </c>
      <c r="D70" t="s">
        <v>352</v>
      </c>
      <c r="E70" t="s">
        <v>368</v>
      </c>
      <c r="F70" t="s">
        <v>40</v>
      </c>
      <c r="G70" s="32">
        <v>4746</v>
      </c>
    </row>
    <row r="71" spans="2:7" hidden="1">
      <c r="B71" t="s">
        <v>394</v>
      </c>
      <c r="C71" s="8" t="s">
        <v>40</v>
      </c>
      <c r="D71" t="s">
        <v>352</v>
      </c>
      <c r="E71" t="s">
        <v>355</v>
      </c>
      <c r="F71" t="s">
        <v>40</v>
      </c>
      <c r="G71" s="32">
        <v>8750</v>
      </c>
    </row>
    <row r="72" spans="2:7" hidden="1">
      <c r="B72" t="s">
        <v>395</v>
      </c>
      <c r="C72" s="8" t="s">
        <v>40</v>
      </c>
      <c r="D72" t="s">
        <v>352</v>
      </c>
      <c r="E72" t="s">
        <v>373</v>
      </c>
      <c r="F72" t="s">
        <v>40</v>
      </c>
      <c r="G72" s="32">
        <v>700</v>
      </c>
    </row>
    <row r="73" spans="2:7" hidden="1">
      <c r="B73" t="s">
        <v>395</v>
      </c>
      <c r="C73" s="8" t="s">
        <v>40</v>
      </c>
      <c r="D73" t="s">
        <v>352</v>
      </c>
      <c r="E73" t="s">
        <v>396</v>
      </c>
      <c r="F73" t="s">
        <v>40</v>
      </c>
      <c r="G73" s="32">
        <f>11164-700</f>
        <v>10464</v>
      </c>
    </row>
    <row r="74" spans="2:7" hidden="1">
      <c r="C74" s="8" t="s">
        <v>40</v>
      </c>
      <c r="D74" t="s">
        <v>352</v>
      </c>
      <c r="E74" s="14" t="s">
        <v>357</v>
      </c>
      <c r="F74" t="s">
        <v>40</v>
      </c>
      <c r="G74" s="32">
        <v>2000</v>
      </c>
    </row>
    <row r="75" spans="2:7" hidden="1">
      <c r="B75" t="s">
        <v>397</v>
      </c>
      <c r="C75" s="8" t="s">
        <v>233</v>
      </c>
      <c r="D75" t="s">
        <v>352</v>
      </c>
      <c r="E75" t="s">
        <v>355</v>
      </c>
      <c r="F75" t="s">
        <v>42</v>
      </c>
      <c r="G75" s="32">
        <v>15342</v>
      </c>
    </row>
    <row r="76" spans="2:7" hidden="1">
      <c r="C76" s="8" t="s">
        <v>233</v>
      </c>
      <c r="D76" t="s">
        <v>352</v>
      </c>
      <c r="E76" t="s">
        <v>364</v>
      </c>
      <c r="F76" t="s">
        <v>42</v>
      </c>
      <c r="G76" s="32">
        <v>33248</v>
      </c>
    </row>
    <row r="77" spans="2:7" hidden="1">
      <c r="C77" s="8" t="s">
        <v>233</v>
      </c>
      <c r="D77" t="s">
        <v>352</v>
      </c>
      <c r="E77" t="s">
        <v>364</v>
      </c>
      <c r="F77" s="21" t="s">
        <v>44</v>
      </c>
      <c r="G77" s="32">
        <v>5452</v>
      </c>
    </row>
    <row r="78" spans="2:7" hidden="1">
      <c r="B78" t="s">
        <v>398</v>
      </c>
      <c r="C78" s="8" t="s">
        <v>233</v>
      </c>
      <c r="D78" t="s">
        <v>352</v>
      </c>
      <c r="E78" t="s">
        <v>368</v>
      </c>
      <c r="F78" s="21" t="s">
        <v>44</v>
      </c>
      <c r="G78" s="32">
        <f>46870-G77-G79</f>
        <v>26506</v>
      </c>
    </row>
    <row r="79" spans="2:7" hidden="1">
      <c r="B79" s="8" t="s">
        <v>233</v>
      </c>
      <c r="C79" s="8" t="s">
        <v>233</v>
      </c>
      <c r="D79" t="s">
        <v>352</v>
      </c>
      <c r="E79" t="s">
        <v>396</v>
      </c>
      <c r="F79" s="21" t="s">
        <v>44</v>
      </c>
      <c r="G79" s="32">
        <f>38270-26506+4008-860</f>
        <v>14912</v>
      </c>
    </row>
    <row r="80" spans="2:7" hidden="1">
      <c r="B80" t="s">
        <v>399</v>
      </c>
      <c r="C80" s="8" t="s">
        <v>46</v>
      </c>
      <c r="D80" t="s">
        <v>352</v>
      </c>
      <c r="E80" t="s">
        <v>368</v>
      </c>
      <c r="F80" t="s">
        <v>57</v>
      </c>
      <c r="G80" s="32">
        <f>1260</f>
        <v>1260</v>
      </c>
    </row>
    <row r="81" spans="2:9" hidden="1">
      <c r="B81" t="s">
        <v>399</v>
      </c>
      <c r="C81" s="8" t="s">
        <v>46</v>
      </c>
      <c r="D81" t="s">
        <v>352</v>
      </c>
      <c r="E81" t="s">
        <v>368</v>
      </c>
      <c r="F81" t="s">
        <v>55</v>
      </c>
      <c r="G81" s="32">
        <v>2770</v>
      </c>
    </row>
    <row r="82" spans="2:9" hidden="1">
      <c r="B82" t="s">
        <v>400</v>
      </c>
      <c r="C82" s="8" t="s">
        <v>46</v>
      </c>
      <c r="D82" t="s">
        <v>352</v>
      </c>
      <c r="E82" t="s">
        <v>355</v>
      </c>
      <c r="F82" t="s">
        <v>55</v>
      </c>
      <c r="G82" s="32">
        <v>1115</v>
      </c>
    </row>
    <row r="83" spans="2:9" hidden="1">
      <c r="B83" t="s">
        <v>400</v>
      </c>
      <c r="C83" s="8" t="s">
        <v>46</v>
      </c>
      <c r="D83" t="s">
        <v>352</v>
      </c>
      <c r="E83" t="s">
        <v>355</v>
      </c>
      <c r="F83" t="s">
        <v>46</v>
      </c>
      <c r="G83" s="32">
        <v>14145</v>
      </c>
    </row>
    <row r="84" spans="2:9" hidden="1">
      <c r="B84" s="8" t="s">
        <v>401</v>
      </c>
      <c r="C84" s="8" t="s">
        <v>46</v>
      </c>
      <c r="D84" t="s">
        <v>352</v>
      </c>
      <c r="F84" t="s">
        <v>46</v>
      </c>
      <c r="G84" s="32">
        <v>20000</v>
      </c>
    </row>
    <row r="85" spans="2:9" hidden="1">
      <c r="C85" s="8" t="s">
        <v>46</v>
      </c>
      <c r="D85" t="s">
        <v>352</v>
      </c>
      <c r="E85" s="14" t="s">
        <v>357</v>
      </c>
      <c r="F85" t="s">
        <v>57</v>
      </c>
      <c r="G85" s="32">
        <v>7740</v>
      </c>
    </row>
    <row r="86" spans="2:9" hidden="1">
      <c r="B86" t="s">
        <v>402</v>
      </c>
      <c r="C86" t="s">
        <v>238</v>
      </c>
      <c r="D86" t="s">
        <v>352</v>
      </c>
      <c r="E86" t="s">
        <v>403</v>
      </c>
      <c r="F86" t="s">
        <v>48</v>
      </c>
      <c r="G86" s="32">
        <v>79980</v>
      </c>
    </row>
    <row r="87" spans="2:9" hidden="1">
      <c r="B87" t="s">
        <v>404</v>
      </c>
      <c r="C87" t="s">
        <v>238</v>
      </c>
      <c r="D87" t="s">
        <v>352</v>
      </c>
      <c r="E87" t="s">
        <v>403</v>
      </c>
      <c r="F87" t="s">
        <v>50</v>
      </c>
      <c r="G87" s="32">
        <v>78690</v>
      </c>
    </row>
    <row r="88" spans="2:9" hidden="1">
      <c r="B88" t="s">
        <v>405</v>
      </c>
      <c r="C88" t="s">
        <v>238</v>
      </c>
      <c r="D88" t="s">
        <v>352</v>
      </c>
      <c r="E88" t="s">
        <v>403</v>
      </c>
      <c r="F88" t="s">
        <v>52</v>
      </c>
      <c r="G88" s="32">
        <v>56545</v>
      </c>
    </row>
    <row r="89" spans="2:9" hidden="1">
      <c r="B89" t="s">
        <v>406</v>
      </c>
      <c r="C89" t="s">
        <v>238</v>
      </c>
      <c r="D89" t="s">
        <v>352</v>
      </c>
      <c r="E89" t="s">
        <v>403</v>
      </c>
      <c r="F89" t="s">
        <v>54</v>
      </c>
      <c r="G89" s="32">
        <f>51385+7740</f>
        <v>59125</v>
      </c>
    </row>
    <row r="90" spans="2:9" hidden="1">
      <c r="B90" t="s">
        <v>407</v>
      </c>
      <c r="C90" t="s">
        <v>238</v>
      </c>
      <c r="D90" t="s">
        <v>352</v>
      </c>
      <c r="E90" t="s">
        <v>408</v>
      </c>
      <c r="F90" t="s">
        <v>48</v>
      </c>
      <c r="G90" s="32">
        <v>26660</v>
      </c>
    </row>
    <row r="91" spans="2:9" hidden="1">
      <c r="B91" t="s">
        <v>407</v>
      </c>
      <c r="C91" t="s">
        <v>238</v>
      </c>
      <c r="D91" t="s">
        <v>352</v>
      </c>
      <c r="E91" t="s">
        <v>408</v>
      </c>
      <c r="F91" t="s">
        <v>50</v>
      </c>
      <c r="G91" s="32">
        <v>24940</v>
      </c>
    </row>
    <row r="92" spans="2:9" hidden="1">
      <c r="B92" t="s">
        <v>405</v>
      </c>
      <c r="C92" t="s">
        <v>238</v>
      </c>
      <c r="D92" t="s">
        <v>352</v>
      </c>
      <c r="E92" t="s">
        <v>408</v>
      </c>
      <c r="F92" t="s">
        <v>52</v>
      </c>
      <c r="G92" s="32">
        <v>33110</v>
      </c>
    </row>
    <row r="93" spans="2:9" hidden="1">
      <c r="B93" t="s">
        <v>406</v>
      </c>
      <c r="C93" t="s">
        <v>238</v>
      </c>
      <c r="D93" t="s">
        <v>352</v>
      </c>
      <c r="E93" t="s">
        <v>408</v>
      </c>
      <c r="F93" t="s">
        <v>54</v>
      </c>
      <c r="G93" s="32">
        <v>38485</v>
      </c>
      <c r="I93" s="32"/>
    </row>
    <row r="94" spans="2:9" hidden="1">
      <c r="B94" t="s">
        <v>409</v>
      </c>
      <c r="C94" t="s">
        <v>238</v>
      </c>
      <c r="D94" t="s">
        <v>352</v>
      </c>
      <c r="E94" t="s">
        <v>410</v>
      </c>
      <c r="F94" t="s">
        <v>52</v>
      </c>
      <c r="G94" s="32">
        <v>3440</v>
      </c>
    </row>
    <row r="95" spans="2:9" hidden="1">
      <c r="B95" t="s">
        <v>411</v>
      </c>
      <c r="C95" t="s">
        <v>238</v>
      </c>
      <c r="D95" t="s">
        <v>352</v>
      </c>
      <c r="E95" t="s">
        <v>410</v>
      </c>
      <c r="F95" t="s">
        <v>50</v>
      </c>
      <c r="G95" s="32">
        <v>0</v>
      </c>
    </row>
    <row r="96" spans="2:9" hidden="1">
      <c r="B96" t="s">
        <v>412</v>
      </c>
      <c r="C96" t="s">
        <v>238</v>
      </c>
      <c r="D96" t="s">
        <v>352</v>
      </c>
      <c r="E96" s="14" t="s">
        <v>410</v>
      </c>
      <c r="F96" t="s">
        <v>50</v>
      </c>
      <c r="G96" s="32">
        <v>1290</v>
      </c>
    </row>
    <row r="97" spans="2:9" hidden="1">
      <c r="B97" t="s">
        <v>412</v>
      </c>
      <c r="C97" t="s">
        <v>238</v>
      </c>
      <c r="D97" t="s">
        <v>352</v>
      </c>
      <c r="E97" s="14" t="s">
        <v>410</v>
      </c>
      <c r="F97" t="s">
        <v>52</v>
      </c>
      <c r="G97" s="32">
        <v>860</v>
      </c>
    </row>
    <row r="98" spans="2:9" hidden="1">
      <c r="B98" t="s">
        <v>413</v>
      </c>
      <c r="C98" t="s">
        <v>238</v>
      </c>
      <c r="D98" t="s">
        <v>352</v>
      </c>
      <c r="E98" s="14" t="s">
        <v>410</v>
      </c>
      <c r="F98" t="s">
        <v>52</v>
      </c>
      <c r="G98" s="32">
        <v>0</v>
      </c>
    </row>
    <row r="99" spans="2:9" hidden="1">
      <c r="B99" t="s">
        <v>414</v>
      </c>
      <c r="C99" t="s">
        <v>238</v>
      </c>
      <c r="D99" t="s">
        <v>352</v>
      </c>
      <c r="E99" s="14" t="s">
        <v>410</v>
      </c>
      <c r="F99" t="s">
        <v>52</v>
      </c>
      <c r="G99" s="32">
        <v>9460</v>
      </c>
    </row>
    <row r="100" spans="2:9" hidden="1">
      <c r="B100" t="s">
        <v>415</v>
      </c>
      <c r="D100" t="s">
        <v>352</v>
      </c>
      <c r="E100" s="14" t="s">
        <v>410</v>
      </c>
      <c r="F100" t="s">
        <v>54</v>
      </c>
      <c r="G100" s="32">
        <v>4730</v>
      </c>
    </row>
    <row r="101" spans="2:9" hidden="1">
      <c r="B101" t="s">
        <v>416</v>
      </c>
      <c r="C101" t="s">
        <v>238</v>
      </c>
      <c r="D101" t="s">
        <v>352</v>
      </c>
      <c r="E101" t="s">
        <v>396</v>
      </c>
      <c r="F101" t="s">
        <v>54</v>
      </c>
      <c r="G101" s="32">
        <v>3710</v>
      </c>
    </row>
    <row r="102" spans="2:9" hidden="1">
      <c r="B102" t="s">
        <v>417</v>
      </c>
      <c r="C102" t="s">
        <v>238</v>
      </c>
      <c r="D102" t="s">
        <v>352</v>
      </c>
      <c r="E102" t="s">
        <v>373</v>
      </c>
      <c r="F102" t="s">
        <v>52</v>
      </c>
      <c r="G102" s="32">
        <v>8385</v>
      </c>
    </row>
    <row r="103" spans="2:9" hidden="1">
      <c r="B103" t="s">
        <v>417</v>
      </c>
      <c r="C103" t="s">
        <v>238</v>
      </c>
      <c r="D103" t="s">
        <v>352</v>
      </c>
      <c r="E103" t="s">
        <v>373</v>
      </c>
      <c r="F103" t="s">
        <v>54</v>
      </c>
      <c r="G103" s="32">
        <v>2310</v>
      </c>
      <c r="I103" s="32"/>
    </row>
    <row r="104" spans="2:9">
      <c r="B104" t="s">
        <v>418</v>
      </c>
      <c r="C104" t="s">
        <v>254</v>
      </c>
      <c r="D104" t="s">
        <v>352</v>
      </c>
      <c r="E104" t="s">
        <v>419</v>
      </c>
      <c r="F104" t="s">
        <v>97</v>
      </c>
      <c r="G104" s="32">
        <v>5160</v>
      </c>
    </row>
    <row r="105" spans="2:9" hidden="1">
      <c r="C105" t="s">
        <v>254</v>
      </c>
      <c r="D105" t="s">
        <v>420</v>
      </c>
      <c r="E105" t="s">
        <v>357</v>
      </c>
      <c r="F105" t="s">
        <v>97</v>
      </c>
      <c r="G105" s="32">
        <v>4300</v>
      </c>
    </row>
    <row r="106" spans="2:9" hidden="1">
      <c r="C106" s="8" t="s">
        <v>239</v>
      </c>
      <c r="D106" t="s">
        <v>352</v>
      </c>
      <c r="E106" t="s">
        <v>364</v>
      </c>
      <c r="F106" t="s">
        <v>57</v>
      </c>
      <c r="G106" s="32">
        <v>8600</v>
      </c>
    </row>
    <row r="107" spans="2:9" hidden="1">
      <c r="B107" t="s">
        <v>399</v>
      </c>
      <c r="C107" s="8" t="s">
        <v>46</v>
      </c>
      <c r="D107" t="s">
        <v>352</v>
      </c>
      <c r="E107" t="s">
        <v>368</v>
      </c>
      <c r="F107" t="s">
        <v>50</v>
      </c>
      <c r="G107" s="32">
        <v>1080</v>
      </c>
    </row>
    <row r="108" spans="2:9" hidden="1">
      <c r="B108" t="s">
        <v>399</v>
      </c>
      <c r="C108" s="8" t="s">
        <v>46</v>
      </c>
      <c r="D108" t="s">
        <v>352</v>
      </c>
      <c r="E108" t="s">
        <v>368</v>
      </c>
      <c r="F108" t="s">
        <v>52</v>
      </c>
      <c r="G108" s="32">
        <f>114000-111800</f>
        <v>2200</v>
      </c>
    </row>
    <row r="109" spans="2:9" hidden="1">
      <c r="C109" s="8" t="s">
        <v>55</v>
      </c>
      <c r="D109" t="s">
        <v>352</v>
      </c>
      <c r="E109" t="s">
        <v>357</v>
      </c>
      <c r="F109" t="s">
        <v>55</v>
      </c>
      <c r="G109" s="32">
        <v>3010</v>
      </c>
    </row>
    <row r="110" spans="2:9">
      <c r="B110" t="s">
        <v>421</v>
      </c>
      <c r="C110" t="s">
        <v>80</v>
      </c>
      <c r="D110" t="s">
        <v>352</v>
      </c>
      <c r="E110" t="s">
        <v>419</v>
      </c>
      <c r="F110" t="s">
        <v>80</v>
      </c>
      <c r="G110" s="32">
        <v>2300</v>
      </c>
    </row>
    <row r="111" spans="2:9">
      <c r="B111" t="s">
        <v>422</v>
      </c>
      <c r="C111" t="s">
        <v>80</v>
      </c>
      <c r="D111" t="s">
        <v>352</v>
      </c>
      <c r="E111" t="s">
        <v>419</v>
      </c>
      <c r="F111" t="s">
        <v>80</v>
      </c>
      <c r="G111" s="32">
        <v>3870</v>
      </c>
    </row>
    <row r="112" spans="2:9">
      <c r="B112" t="s">
        <v>418</v>
      </c>
      <c r="D112" t="s">
        <v>352</v>
      </c>
      <c r="E112" t="s">
        <v>419</v>
      </c>
      <c r="F112" t="s">
        <v>80</v>
      </c>
      <c r="G112" s="32">
        <v>6730</v>
      </c>
    </row>
    <row r="113" spans="2:7" hidden="1">
      <c r="B113" t="s">
        <v>423</v>
      </c>
      <c r="D113" t="s">
        <v>352</v>
      </c>
      <c r="F113" t="s">
        <v>80</v>
      </c>
      <c r="G113" s="32">
        <v>4000</v>
      </c>
    </row>
    <row r="114" spans="2:7">
      <c r="B114" t="s">
        <v>418</v>
      </c>
      <c r="C114" t="s">
        <v>80</v>
      </c>
      <c r="D114" t="s">
        <v>352</v>
      </c>
      <c r="E114" t="s">
        <v>419</v>
      </c>
      <c r="F114" t="s">
        <v>80</v>
      </c>
      <c r="G114" s="32">
        <v>2150</v>
      </c>
    </row>
    <row r="115" spans="2:7">
      <c r="B115" t="s">
        <v>424</v>
      </c>
      <c r="C115" t="s">
        <v>247</v>
      </c>
      <c r="D115" t="s">
        <v>352</v>
      </c>
      <c r="E115" t="s">
        <v>419</v>
      </c>
      <c r="F115" t="s">
        <v>76</v>
      </c>
      <c r="G115" s="32">
        <v>2300</v>
      </c>
    </row>
    <row r="116" spans="2:7">
      <c r="B116" t="s">
        <v>418</v>
      </c>
      <c r="C116" t="s">
        <v>247</v>
      </c>
      <c r="D116" t="s">
        <v>352</v>
      </c>
      <c r="E116" t="s">
        <v>419</v>
      </c>
      <c r="F116" t="s">
        <v>76</v>
      </c>
      <c r="G116" s="32">
        <v>7810</v>
      </c>
    </row>
    <row r="117" spans="2:7" hidden="1">
      <c r="B117" t="s">
        <v>425</v>
      </c>
      <c r="C117" t="s">
        <v>247</v>
      </c>
      <c r="D117" t="s">
        <v>352</v>
      </c>
      <c r="E117" t="s">
        <v>426</v>
      </c>
      <c r="F117" t="s">
        <v>76</v>
      </c>
      <c r="G117" s="32">
        <v>1720</v>
      </c>
    </row>
    <row r="118" spans="2:7" hidden="1">
      <c r="C118" t="s">
        <v>247</v>
      </c>
      <c r="D118" t="s">
        <v>352</v>
      </c>
      <c r="E118" t="s">
        <v>361</v>
      </c>
      <c r="F118" t="s">
        <v>76</v>
      </c>
      <c r="G118" s="32">
        <v>1500</v>
      </c>
    </row>
    <row r="119" spans="2:7" hidden="1">
      <c r="B119" t="s">
        <v>423</v>
      </c>
      <c r="D119" t="s">
        <v>352</v>
      </c>
      <c r="F119" t="s">
        <v>76</v>
      </c>
      <c r="G119" s="32">
        <v>4000</v>
      </c>
    </row>
    <row r="120" spans="2:7">
      <c r="B120" t="s">
        <v>427</v>
      </c>
      <c r="C120" t="s">
        <v>249</v>
      </c>
      <c r="D120" t="s">
        <v>352</v>
      </c>
      <c r="E120" t="s">
        <v>419</v>
      </c>
      <c r="F120" t="s">
        <v>78</v>
      </c>
      <c r="G120" s="32">
        <v>9890</v>
      </c>
    </row>
    <row r="121" spans="2:7" hidden="1">
      <c r="B121" t="s">
        <v>428</v>
      </c>
      <c r="C121" t="s">
        <v>249</v>
      </c>
      <c r="D121" t="s">
        <v>352</v>
      </c>
      <c r="E121" t="s">
        <v>426</v>
      </c>
      <c r="F121" t="s">
        <v>78</v>
      </c>
      <c r="G121" s="32">
        <v>3870</v>
      </c>
    </row>
    <row r="122" spans="2:7" hidden="1">
      <c r="B122" t="s">
        <v>423</v>
      </c>
      <c r="D122" t="s">
        <v>352</v>
      </c>
      <c r="F122" t="s">
        <v>78</v>
      </c>
      <c r="G122" s="32">
        <v>4000</v>
      </c>
    </row>
    <row r="123" spans="2:7" hidden="1">
      <c r="B123" t="s">
        <v>429</v>
      </c>
      <c r="C123" t="s">
        <v>251</v>
      </c>
      <c r="D123" t="s">
        <v>352</v>
      </c>
      <c r="E123" t="s">
        <v>355</v>
      </c>
      <c r="F123" t="s">
        <v>82</v>
      </c>
      <c r="G123" s="32">
        <v>11391</v>
      </c>
    </row>
    <row r="124" spans="2:7" hidden="1">
      <c r="B124" t="s">
        <v>429</v>
      </c>
      <c r="D124" t="s">
        <v>352</v>
      </c>
      <c r="E124" t="s">
        <v>355</v>
      </c>
      <c r="G124" s="32">
        <v>4519</v>
      </c>
    </row>
    <row r="125" spans="2:7">
      <c r="B125" t="s">
        <v>418</v>
      </c>
      <c r="C125" t="s">
        <v>251</v>
      </c>
      <c r="D125" t="s">
        <v>420</v>
      </c>
      <c r="E125" t="s">
        <v>419</v>
      </c>
      <c r="F125" t="s">
        <v>82</v>
      </c>
      <c r="G125" s="32">
        <v>4519</v>
      </c>
    </row>
    <row r="126" spans="2:7" hidden="1">
      <c r="B126" t="s">
        <v>422</v>
      </c>
      <c r="C126" t="s">
        <v>251</v>
      </c>
      <c r="D126" t="s">
        <v>352</v>
      </c>
      <c r="E126" t="s">
        <v>426</v>
      </c>
      <c r="F126" t="s">
        <v>82</v>
      </c>
      <c r="G126" s="32">
        <v>6020</v>
      </c>
    </row>
    <row r="127" spans="2:7" hidden="1">
      <c r="B127" t="s">
        <v>423</v>
      </c>
      <c r="D127" t="s">
        <v>352</v>
      </c>
      <c r="F127" t="s">
        <v>82</v>
      </c>
      <c r="G127" s="32">
        <v>4000</v>
      </c>
    </row>
    <row r="128" spans="2:7">
      <c r="B128" t="s">
        <v>430</v>
      </c>
      <c r="C128" t="s">
        <v>258</v>
      </c>
      <c r="D128" t="s">
        <v>352</v>
      </c>
      <c r="E128" t="s">
        <v>419</v>
      </c>
      <c r="F128" t="s">
        <v>97</v>
      </c>
      <c r="G128" s="32">
        <v>24065</v>
      </c>
    </row>
    <row r="129" spans="2:7" hidden="1">
      <c r="B129" t="s">
        <v>423</v>
      </c>
      <c r="D129" t="s">
        <v>352</v>
      </c>
      <c r="F129" t="s">
        <v>97</v>
      </c>
      <c r="G129" s="32">
        <v>4315</v>
      </c>
    </row>
    <row r="130" spans="2:7">
      <c r="B130" t="s">
        <v>430</v>
      </c>
      <c r="C130" t="s">
        <v>258</v>
      </c>
      <c r="D130" t="s">
        <v>352</v>
      </c>
      <c r="E130" t="s">
        <v>419</v>
      </c>
      <c r="G130" s="32">
        <v>3455</v>
      </c>
    </row>
    <row r="131" spans="2:7">
      <c r="B131" t="s">
        <v>431</v>
      </c>
      <c r="C131" t="s">
        <v>258</v>
      </c>
      <c r="D131" t="s">
        <v>352</v>
      </c>
      <c r="E131" t="s">
        <v>419</v>
      </c>
      <c r="G131" s="32">
        <f>17200</f>
        <v>17200</v>
      </c>
    </row>
    <row r="132" spans="2:7">
      <c r="C132" t="s">
        <v>258</v>
      </c>
      <c r="D132" t="s">
        <v>420</v>
      </c>
      <c r="E132" t="s">
        <v>419</v>
      </c>
      <c r="G132" s="32">
        <f>109650-G128-G131-G130</f>
        <v>64930</v>
      </c>
    </row>
    <row r="133" spans="2:7" hidden="1">
      <c r="C133" t="s">
        <v>258</v>
      </c>
      <c r="D133" t="s">
        <v>420</v>
      </c>
      <c r="E133" t="s">
        <v>432</v>
      </c>
      <c r="G133" s="32">
        <v>6450</v>
      </c>
    </row>
    <row r="134" spans="2:7" hidden="1">
      <c r="B134" t="s">
        <v>433</v>
      </c>
      <c r="C134" t="s">
        <v>258</v>
      </c>
      <c r="D134" t="s">
        <v>352</v>
      </c>
      <c r="E134" t="s">
        <v>426</v>
      </c>
      <c r="G134" s="32">
        <v>3870</v>
      </c>
    </row>
    <row r="135" spans="2:7">
      <c r="B135" t="s">
        <v>434</v>
      </c>
      <c r="C135" t="s">
        <v>99</v>
      </c>
      <c r="D135" t="s">
        <v>352</v>
      </c>
      <c r="E135" t="s">
        <v>419</v>
      </c>
      <c r="G135" s="32">
        <v>57620</v>
      </c>
    </row>
    <row r="136" spans="2:7" hidden="1">
      <c r="C136" t="s">
        <v>99</v>
      </c>
      <c r="D136" t="s">
        <v>420</v>
      </c>
      <c r="E136" t="s">
        <v>364</v>
      </c>
      <c r="G136" s="32">
        <v>6450</v>
      </c>
    </row>
    <row r="137" spans="2:7" hidden="1">
      <c r="C137" t="s">
        <v>99</v>
      </c>
      <c r="D137" t="s">
        <v>420</v>
      </c>
      <c r="E137" t="s">
        <v>432</v>
      </c>
      <c r="G137" s="32">
        <v>3010</v>
      </c>
    </row>
    <row r="138" spans="2:7" hidden="1">
      <c r="B138" t="s">
        <v>435</v>
      </c>
      <c r="C138" t="s">
        <v>99</v>
      </c>
      <c r="D138" t="s">
        <v>352</v>
      </c>
      <c r="E138" t="s">
        <v>426</v>
      </c>
      <c r="G138" s="32">
        <v>24940</v>
      </c>
    </row>
    <row r="139" spans="2:7">
      <c r="B139" t="s">
        <v>436</v>
      </c>
      <c r="C139" t="s">
        <v>93</v>
      </c>
      <c r="D139" t="s">
        <v>352</v>
      </c>
      <c r="E139" t="s">
        <v>419</v>
      </c>
      <c r="F139" t="s">
        <v>93</v>
      </c>
      <c r="G139" s="32">
        <v>18060</v>
      </c>
    </row>
    <row r="140" spans="2:7" hidden="1">
      <c r="C140" t="s">
        <v>93</v>
      </c>
      <c r="D140" t="s">
        <v>420</v>
      </c>
      <c r="E140" t="s">
        <v>364</v>
      </c>
      <c r="F140" t="s">
        <v>93</v>
      </c>
      <c r="G140" s="32">
        <v>2580</v>
      </c>
    </row>
    <row r="141" spans="2:7" hidden="1">
      <c r="B141" t="s">
        <v>437</v>
      </c>
      <c r="C141" t="s">
        <v>93</v>
      </c>
      <c r="D141" t="s">
        <v>352</v>
      </c>
      <c r="E141" t="s">
        <v>426</v>
      </c>
      <c r="F141" t="s">
        <v>93</v>
      </c>
      <c r="G141" s="32">
        <v>17630</v>
      </c>
    </row>
    <row r="142" spans="2:7">
      <c r="B142" t="s">
        <v>438</v>
      </c>
      <c r="C142" t="s">
        <v>277</v>
      </c>
      <c r="D142" t="s">
        <v>352</v>
      </c>
      <c r="E142" t="s">
        <v>419</v>
      </c>
      <c r="G142" s="32">
        <v>13760</v>
      </c>
    </row>
    <row r="143" spans="2:7">
      <c r="B143" t="s">
        <v>439</v>
      </c>
      <c r="C143" t="s">
        <v>285</v>
      </c>
      <c r="D143" t="s">
        <v>352</v>
      </c>
      <c r="E143" t="s">
        <v>419</v>
      </c>
      <c r="G143" s="32">
        <v>10750</v>
      </c>
    </row>
    <row r="144" spans="2:7">
      <c r="B144" t="s">
        <v>440</v>
      </c>
      <c r="C144" t="s">
        <v>95</v>
      </c>
      <c r="D144" t="s">
        <v>352</v>
      </c>
      <c r="E144" t="s">
        <v>419</v>
      </c>
      <c r="F144" t="s">
        <v>95</v>
      </c>
      <c r="G144" s="32">
        <v>860</v>
      </c>
    </row>
    <row r="145" spans="2:10" hidden="1">
      <c r="C145" t="s">
        <v>95</v>
      </c>
      <c r="D145" t="s">
        <v>420</v>
      </c>
      <c r="E145" t="s">
        <v>364</v>
      </c>
      <c r="F145" t="s">
        <v>95</v>
      </c>
      <c r="G145" s="32">
        <v>15910</v>
      </c>
    </row>
    <row r="146" spans="2:10">
      <c r="B146" t="s">
        <v>440</v>
      </c>
      <c r="C146" t="s">
        <v>270</v>
      </c>
      <c r="D146" t="s">
        <v>352</v>
      </c>
      <c r="E146" t="s">
        <v>419</v>
      </c>
      <c r="F146" t="s">
        <v>95</v>
      </c>
      <c r="G146" s="32">
        <v>860</v>
      </c>
    </row>
    <row r="147" spans="2:10" hidden="1">
      <c r="C147" t="s">
        <v>270</v>
      </c>
      <c r="D147" t="s">
        <v>420</v>
      </c>
      <c r="E147" t="s">
        <v>364</v>
      </c>
      <c r="F147" t="s">
        <v>95</v>
      </c>
      <c r="G147" s="32">
        <v>10750</v>
      </c>
    </row>
    <row r="148" spans="2:10" hidden="1">
      <c r="C148" t="s">
        <v>267</v>
      </c>
      <c r="D148" t="s">
        <v>420</v>
      </c>
      <c r="E148" t="s">
        <v>357</v>
      </c>
      <c r="F148" t="s">
        <v>95</v>
      </c>
      <c r="G148" s="32">
        <v>14620</v>
      </c>
    </row>
    <row r="149" spans="2:10" hidden="1">
      <c r="B149" t="s">
        <v>423</v>
      </c>
      <c r="D149" t="s">
        <v>352</v>
      </c>
      <c r="F149" t="s">
        <v>93</v>
      </c>
      <c r="G149" s="32">
        <v>7000</v>
      </c>
    </row>
    <row r="150" spans="2:10">
      <c r="B150" t="s">
        <v>441</v>
      </c>
      <c r="C150" t="s">
        <v>300</v>
      </c>
      <c r="D150" t="s">
        <v>352</v>
      </c>
      <c r="E150" t="s">
        <v>419</v>
      </c>
      <c r="G150" s="32">
        <v>2365</v>
      </c>
    </row>
    <row r="151" spans="2:10" hidden="1">
      <c r="C151" t="s">
        <v>300</v>
      </c>
      <c r="D151" t="s">
        <v>352</v>
      </c>
      <c r="E151" t="s">
        <v>356</v>
      </c>
      <c r="G151" s="32">
        <v>7095</v>
      </c>
    </row>
    <row r="152" spans="2:10" hidden="1">
      <c r="C152" t="s">
        <v>300</v>
      </c>
      <c r="D152" t="s">
        <v>352</v>
      </c>
      <c r="E152" t="s">
        <v>364</v>
      </c>
      <c r="G152" s="32">
        <v>6450</v>
      </c>
    </row>
    <row r="153" spans="2:10">
      <c r="B153" t="s">
        <v>442</v>
      </c>
      <c r="C153" t="s">
        <v>281</v>
      </c>
      <c r="D153" t="s">
        <v>352</v>
      </c>
      <c r="E153" t="s">
        <v>419</v>
      </c>
      <c r="G153" s="32">
        <v>16770</v>
      </c>
    </row>
    <row r="154" spans="2:10" hidden="1">
      <c r="C154" t="s">
        <v>281</v>
      </c>
      <c r="D154" t="s">
        <v>420</v>
      </c>
      <c r="E154" t="s">
        <v>356</v>
      </c>
      <c r="G154" s="32">
        <v>7525</v>
      </c>
    </row>
    <row r="155" spans="2:10" hidden="1">
      <c r="C155" t="s">
        <v>281</v>
      </c>
      <c r="D155" t="s">
        <v>420</v>
      </c>
      <c r="E155" t="s">
        <v>364</v>
      </c>
      <c r="G155" s="32">
        <v>7740</v>
      </c>
    </row>
    <row r="156" spans="2:10" hidden="1">
      <c r="C156" t="s">
        <v>281</v>
      </c>
      <c r="D156" t="s">
        <v>420</v>
      </c>
      <c r="E156" t="s">
        <v>432</v>
      </c>
      <c r="G156" s="32">
        <v>1935</v>
      </c>
    </row>
    <row r="157" spans="2:10">
      <c r="B157" t="s">
        <v>443</v>
      </c>
      <c r="C157" t="s">
        <v>288</v>
      </c>
      <c r="D157" t="s">
        <v>352</v>
      </c>
      <c r="E157" t="s">
        <v>419</v>
      </c>
      <c r="G157" s="32">
        <v>51385</v>
      </c>
      <c r="J157" s="32"/>
    </row>
    <row r="158" spans="2:10" hidden="1">
      <c r="C158" t="s">
        <v>288</v>
      </c>
      <c r="D158" t="s">
        <v>420</v>
      </c>
      <c r="E158" t="s">
        <v>356</v>
      </c>
      <c r="G158" s="32">
        <v>39775</v>
      </c>
    </row>
    <row r="159" spans="2:10" hidden="1">
      <c r="C159" t="s">
        <v>288</v>
      </c>
      <c r="D159" t="s">
        <v>420</v>
      </c>
      <c r="E159" t="s">
        <v>432</v>
      </c>
      <c r="G159" s="32">
        <v>2580</v>
      </c>
      <c r="J159" s="32"/>
    </row>
    <row r="160" spans="2:10" hidden="1">
      <c r="C160" t="s">
        <v>73</v>
      </c>
      <c r="D160" t="s">
        <v>420</v>
      </c>
      <c r="E160" t="s">
        <v>364</v>
      </c>
      <c r="G160" s="32">
        <v>7740</v>
      </c>
    </row>
    <row r="161" spans="2:7" hidden="1">
      <c r="B161" t="s">
        <v>444</v>
      </c>
      <c r="C161" t="s">
        <v>88</v>
      </c>
      <c r="D161" t="s">
        <v>352</v>
      </c>
      <c r="E161" t="s">
        <v>432</v>
      </c>
      <c r="F161" t="s">
        <v>88</v>
      </c>
      <c r="G161" s="32">
        <v>15050</v>
      </c>
    </row>
    <row r="162" spans="2:7" hidden="1">
      <c r="C162" t="s">
        <v>88</v>
      </c>
      <c r="D162" t="s">
        <v>420</v>
      </c>
      <c r="E162" t="s">
        <v>432</v>
      </c>
      <c r="F162" t="s">
        <v>88</v>
      </c>
      <c r="G162" s="32">
        <v>2150</v>
      </c>
    </row>
    <row r="163" spans="2:7" hidden="1">
      <c r="C163" t="s">
        <v>277</v>
      </c>
      <c r="D163" t="s">
        <v>352</v>
      </c>
      <c r="E163" t="s">
        <v>426</v>
      </c>
      <c r="G163" s="32">
        <v>14835</v>
      </c>
    </row>
    <row r="164" spans="2:7">
      <c r="C164" t="s">
        <v>277</v>
      </c>
      <c r="D164" t="s">
        <v>420</v>
      </c>
      <c r="E164" t="s">
        <v>419</v>
      </c>
      <c r="G164" s="32">
        <v>2365</v>
      </c>
    </row>
    <row r="165" spans="2:7" hidden="1">
      <c r="C165" t="s">
        <v>285</v>
      </c>
      <c r="D165" t="s">
        <v>352</v>
      </c>
      <c r="E165" t="s">
        <v>426</v>
      </c>
      <c r="G165" s="32">
        <v>3440</v>
      </c>
    </row>
    <row r="166" spans="2:7" hidden="1">
      <c r="C166" t="s">
        <v>285</v>
      </c>
      <c r="D166" t="s">
        <v>352</v>
      </c>
      <c r="E166" t="s">
        <v>364</v>
      </c>
      <c r="G166" s="32">
        <v>18770</v>
      </c>
    </row>
    <row r="167" spans="2:7" hidden="1">
      <c r="C167" t="s">
        <v>285</v>
      </c>
      <c r="D167" t="s">
        <v>352</v>
      </c>
      <c r="E167" t="s">
        <v>357</v>
      </c>
      <c r="G167" s="32">
        <v>4300</v>
      </c>
    </row>
    <row r="168" spans="2:7">
      <c r="C168" t="s">
        <v>285</v>
      </c>
      <c r="D168" t="s">
        <v>420</v>
      </c>
      <c r="E168" t="s">
        <v>419</v>
      </c>
      <c r="G168" s="32">
        <f>45000-G167-G166-G165-G143</f>
        <v>7740</v>
      </c>
    </row>
    <row r="169" spans="2:7" hidden="1">
      <c r="C169" t="s">
        <v>308</v>
      </c>
      <c r="D169" t="s">
        <v>352</v>
      </c>
      <c r="E169" t="s">
        <v>364</v>
      </c>
      <c r="G169" s="32">
        <v>41710</v>
      </c>
    </row>
    <row r="170" spans="2:7" hidden="1">
      <c r="C170" t="s">
        <v>308</v>
      </c>
      <c r="D170" t="s">
        <v>352</v>
      </c>
      <c r="E170" t="s">
        <v>426</v>
      </c>
      <c r="G170" s="32">
        <v>6665</v>
      </c>
    </row>
    <row r="171" spans="2:7">
      <c r="B171" t="s">
        <v>445</v>
      </c>
      <c r="C171" t="s">
        <v>308</v>
      </c>
      <c r="D171" t="s">
        <v>352</v>
      </c>
      <c r="E171" t="s">
        <v>419</v>
      </c>
      <c r="G171" s="32">
        <v>33755</v>
      </c>
    </row>
    <row r="172" spans="2:7">
      <c r="B172" t="s">
        <v>440</v>
      </c>
      <c r="C172" t="s">
        <v>267</v>
      </c>
      <c r="D172" t="s">
        <v>352</v>
      </c>
      <c r="E172" t="s">
        <v>419</v>
      </c>
      <c r="G172" s="32">
        <v>430</v>
      </c>
    </row>
    <row r="173" spans="2:7" hidden="1">
      <c r="C173" t="s">
        <v>73</v>
      </c>
      <c r="D173" t="s">
        <v>352</v>
      </c>
      <c r="E173" t="s">
        <v>364</v>
      </c>
      <c r="G173" s="32">
        <v>7740</v>
      </c>
    </row>
    <row r="174" spans="2:7">
      <c r="C174" t="s">
        <v>291</v>
      </c>
      <c r="D174" t="s">
        <v>420</v>
      </c>
      <c r="E174" t="s">
        <v>419</v>
      </c>
      <c r="G174" s="32">
        <v>4945</v>
      </c>
    </row>
    <row r="175" spans="2:7" hidden="1">
      <c r="C175" t="s">
        <v>291</v>
      </c>
      <c r="D175" t="s">
        <v>420</v>
      </c>
      <c r="E175" t="s">
        <v>426</v>
      </c>
      <c r="G175" s="32">
        <v>4300</v>
      </c>
    </row>
    <row r="176" spans="2:7">
      <c r="C176" t="s">
        <v>293</v>
      </c>
      <c r="D176" t="s">
        <v>420</v>
      </c>
      <c r="E176" t="s">
        <v>419</v>
      </c>
      <c r="G176" s="32">
        <v>160</v>
      </c>
    </row>
    <row r="177" spans="3:7" hidden="1">
      <c r="C177" t="s">
        <v>293</v>
      </c>
      <c r="D177" t="s">
        <v>420</v>
      </c>
      <c r="E177" t="s">
        <v>446</v>
      </c>
      <c r="G177" s="32">
        <v>5000</v>
      </c>
    </row>
    <row r="178" spans="3:7" hidden="1">
      <c r="C178" s="28" t="s">
        <v>310</v>
      </c>
      <c r="D178" t="s">
        <v>420</v>
      </c>
      <c r="E178" t="s">
        <v>426</v>
      </c>
      <c r="G178" s="32">
        <v>4300</v>
      </c>
    </row>
    <row r="179" spans="3:7" hidden="1">
      <c r="C179" s="28" t="s">
        <v>312</v>
      </c>
      <c r="D179" t="s">
        <v>352</v>
      </c>
      <c r="E179" t="s">
        <v>364</v>
      </c>
      <c r="G179" s="32">
        <v>4730</v>
      </c>
    </row>
    <row r="180" spans="3:7">
      <c r="C180" s="28" t="s">
        <v>314</v>
      </c>
      <c r="D180" t="s">
        <v>420</v>
      </c>
      <c r="E180" t="s">
        <v>419</v>
      </c>
      <c r="G180" s="32">
        <v>10320</v>
      </c>
    </row>
    <row r="181" spans="3:7" hidden="1">
      <c r="C181" s="28" t="s">
        <v>314</v>
      </c>
      <c r="D181" t="s">
        <v>420</v>
      </c>
      <c r="E181" t="s">
        <v>426</v>
      </c>
      <c r="G181" s="32">
        <v>17200</v>
      </c>
    </row>
    <row r="182" spans="3:7">
      <c r="C182" s="28" t="s">
        <v>319</v>
      </c>
      <c r="D182" t="s">
        <v>420</v>
      </c>
      <c r="E182" t="s">
        <v>419</v>
      </c>
      <c r="G182" s="32">
        <v>20425</v>
      </c>
    </row>
    <row r="183" spans="3:7" hidden="1">
      <c r="C183" s="28" t="s">
        <v>319</v>
      </c>
      <c r="D183" t="s">
        <v>420</v>
      </c>
      <c r="E183" t="s">
        <v>426</v>
      </c>
      <c r="G183" s="32">
        <v>18275</v>
      </c>
    </row>
    <row r="184" spans="3:7" hidden="1">
      <c r="C184" s="28" t="s">
        <v>329</v>
      </c>
      <c r="D184" t="s">
        <v>420</v>
      </c>
      <c r="E184" t="s">
        <v>432</v>
      </c>
      <c r="G184" s="32">
        <v>3440</v>
      </c>
    </row>
    <row r="185" spans="3:7" hidden="1">
      <c r="C185" s="28" t="s">
        <v>331</v>
      </c>
      <c r="D185" t="s">
        <v>352</v>
      </c>
      <c r="E185" t="s">
        <v>364</v>
      </c>
      <c r="G185" s="32">
        <v>4300</v>
      </c>
    </row>
    <row r="186" spans="3:7" hidden="1">
      <c r="C186" s="8" t="s">
        <v>274</v>
      </c>
      <c r="D186" t="s">
        <v>352</v>
      </c>
      <c r="E186" t="s">
        <v>364</v>
      </c>
      <c r="G186" s="32">
        <v>2580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2054210C-D245-4168-946C-C9E826CB756B}">
          <x14:formula1>
            <xm:f>Dati!$A$2:$A$10</xm:f>
          </x14:formula1>
          <xm:sqref>D2:D1048576</xm:sqref>
        </x14:dataValidation>
        <x14:dataValidation type="list" allowBlank="1" showInputMessage="1" showErrorMessage="1" xr:uid="{FE7A83BD-675F-4968-A7CD-A71FAE0113D3}">
          <x14:formula1>
            <xm:f>Commesse!$E$2:$E$107</xm:f>
          </x14:formula1>
          <xm:sqref>E2:E1048576</xm:sqref>
        </x14:dataValidation>
        <x14:dataValidation type="list" allowBlank="1" showInputMessage="1" showErrorMessage="1" xr:uid="{B7FA1116-C083-4FC0-A27C-C9442FD82972}">
          <x14:formula1>
            <xm:f>'Activities - Leonardo'!$B$2:$B$3999</xm:f>
          </x14:formula1>
          <xm:sqref>C2:C1048576</xm:sqref>
        </x14:dataValidation>
        <x14:dataValidation type="list" allowBlank="1" showInputMessage="1" showErrorMessage="1" xr:uid="{1116F03F-1DCE-47EB-9AE2-A0D1F730EB95}">
          <x14:formula1>
            <xm:f>Offers!$B$2:$B$2599</xm:f>
          </x14:formula1>
          <xm:sqref>F2:F1048576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9690B-79E8-4122-AAFF-4A1CC9B5C76D}">
  <dimension ref="E3:Y32"/>
  <sheetViews>
    <sheetView topLeftCell="B6" workbookViewId="0">
      <selection activeCell="N25" sqref="N25"/>
    </sheetView>
  </sheetViews>
  <sheetFormatPr defaultRowHeight="15"/>
  <cols>
    <col min="6" max="6" width="27.140625" bestFit="1" customWidth="1"/>
    <col min="8" max="8" width="47.42578125" bestFit="1" customWidth="1"/>
    <col min="9" max="9" width="27.5703125" bestFit="1" customWidth="1"/>
    <col min="10" max="10" width="12.140625" bestFit="1" customWidth="1"/>
    <col min="13" max="13" width="15.7109375" customWidth="1"/>
    <col min="14" max="14" width="9.28515625" bestFit="1" customWidth="1"/>
    <col min="18" max="18" width="15.28515625" bestFit="1" customWidth="1"/>
    <col min="19" max="19" width="12" bestFit="1" customWidth="1"/>
    <col min="20" max="20" width="13.140625" bestFit="1" customWidth="1"/>
    <col min="21" max="21" width="21.5703125" bestFit="1" customWidth="1"/>
    <col min="22" max="23" width="12.140625" bestFit="1" customWidth="1"/>
    <col min="24" max="24" width="11" bestFit="1" customWidth="1"/>
    <col min="25" max="25" width="12.140625" bestFit="1" customWidth="1"/>
  </cols>
  <sheetData>
    <row r="3" spans="5:25">
      <c r="F3" s="48" t="s">
        <v>251</v>
      </c>
      <c r="G3" s="48" t="s">
        <v>352</v>
      </c>
      <c r="H3" s="48" t="s">
        <v>355</v>
      </c>
      <c r="I3" s="48" t="s">
        <v>82</v>
      </c>
      <c r="J3" s="49">
        <v>15910</v>
      </c>
      <c r="M3">
        <v>47815</v>
      </c>
      <c r="R3" t="s">
        <v>83</v>
      </c>
      <c r="S3">
        <v>4554126129</v>
      </c>
      <c r="T3" t="s">
        <v>447</v>
      </c>
      <c r="U3" t="s">
        <v>448</v>
      </c>
      <c r="V3" s="32">
        <v>25930</v>
      </c>
      <c r="Y3" s="32">
        <f>V3+V5-16000</f>
        <v>11315</v>
      </c>
    </row>
    <row r="4" spans="5:25">
      <c r="F4" s="50" t="s">
        <v>251</v>
      </c>
      <c r="G4" s="50" t="s">
        <v>352</v>
      </c>
      <c r="H4" s="50" t="s">
        <v>426</v>
      </c>
      <c r="I4" s="50" t="s">
        <v>82</v>
      </c>
      <c r="J4" s="51">
        <v>6020</v>
      </c>
      <c r="M4">
        <v>4700</v>
      </c>
    </row>
    <row r="5" spans="5:25">
      <c r="F5" s="48"/>
      <c r="G5" s="48" t="s">
        <v>352</v>
      </c>
      <c r="H5" s="48"/>
      <c r="I5" s="48" t="s">
        <v>82</v>
      </c>
      <c r="J5" s="49">
        <v>4000</v>
      </c>
      <c r="M5">
        <f>M3+M4</f>
        <v>52515</v>
      </c>
      <c r="R5" s="52" t="s">
        <v>77</v>
      </c>
      <c r="S5" s="21">
        <v>4554126127</v>
      </c>
      <c r="T5" t="s">
        <v>447</v>
      </c>
      <c r="U5" t="s">
        <v>448</v>
      </c>
      <c r="V5" s="32">
        <v>1385</v>
      </c>
      <c r="X5" s="32">
        <f>17330-V5-V8-V6</f>
        <v>3054</v>
      </c>
    </row>
    <row r="6" spans="5:25">
      <c r="M6">
        <v>25200</v>
      </c>
      <c r="R6" s="52" t="s">
        <v>77</v>
      </c>
      <c r="S6" s="21">
        <v>4554126127</v>
      </c>
      <c r="T6" t="s">
        <v>447</v>
      </c>
      <c r="U6" t="s">
        <v>449</v>
      </c>
      <c r="V6" s="32">
        <v>11391</v>
      </c>
    </row>
    <row r="7" spans="5:25">
      <c r="E7" s="52" t="s">
        <v>77</v>
      </c>
      <c r="F7" s="48" t="s">
        <v>247</v>
      </c>
      <c r="G7" s="48" t="s">
        <v>352</v>
      </c>
      <c r="H7" s="48" t="s">
        <v>419</v>
      </c>
      <c r="I7" s="48" t="s">
        <v>76</v>
      </c>
      <c r="J7" s="49">
        <v>2300</v>
      </c>
      <c r="L7">
        <v>25930</v>
      </c>
      <c r="M7">
        <f>M5-M6</f>
        <v>27315</v>
      </c>
      <c r="N7">
        <f>M7-L7</f>
        <v>1385</v>
      </c>
      <c r="R7" s="52" t="s">
        <v>77</v>
      </c>
      <c r="S7" s="21">
        <v>4554126127</v>
      </c>
      <c r="T7" t="s">
        <v>447</v>
      </c>
      <c r="U7" t="s">
        <v>450</v>
      </c>
      <c r="V7" s="32">
        <v>3054</v>
      </c>
    </row>
    <row r="8" spans="5:25">
      <c r="E8" s="52" t="s">
        <v>77</v>
      </c>
      <c r="F8" s="50" t="s">
        <v>247</v>
      </c>
      <c r="G8" s="50" t="s">
        <v>352</v>
      </c>
      <c r="H8" s="50" t="s">
        <v>419</v>
      </c>
      <c r="I8" s="50" t="s">
        <v>76</v>
      </c>
      <c r="J8" s="51">
        <v>7810</v>
      </c>
      <c r="R8" s="52" t="s">
        <v>77</v>
      </c>
      <c r="S8" s="21">
        <v>4554126127</v>
      </c>
      <c r="T8" t="s">
        <v>447</v>
      </c>
      <c r="V8" s="32">
        <v>1500</v>
      </c>
    </row>
    <row r="9" spans="5:25">
      <c r="E9" s="52" t="s">
        <v>77</v>
      </c>
      <c r="F9" s="48" t="s">
        <v>247</v>
      </c>
      <c r="G9" s="48" t="s">
        <v>352</v>
      </c>
      <c r="H9" s="48" t="s">
        <v>426</v>
      </c>
      <c r="I9" s="48" t="s">
        <v>76</v>
      </c>
      <c r="J9" s="49">
        <v>1720</v>
      </c>
    </row>
    <row r="10" spans="5:25">
      <c r="E10" s="52" t="s">
        <v>77</v>
      </c>
      <c r="F10" s="50" t="s">
        <v>247</v>
      </c>
      <c r="G10" s="50" t="s">
        <v>420</v>
      </c>
      <c r="H10" s="50" t="s">
        <v>361</v>
      </c>
      <c r="I10" s="50" t="s">
        <v>76</v>
      </c>
      <c r="J10" s="51">
        <v>1500</v>
      </c>
      <c r="R10" t="s">
        <v>451</v>
      </c>
      <c r="S10" s="21">
        <v>4554126126</v>
      </c>
      <c r="T10" t="s">
        <v>447</v>
      </c>
      <c r="V10" s="32">
        <f>J14+J16</f>
        <v>13890</v>
      </c>
    </row>
    <row r="11" spans="5:25">
      <c r="F11" s="48"/>
      <c r="G11" s="48" t="s">
        <v>352</v>
      </c>
      <c r="H11" s="48"/>
      <c r="I11" s="48" t="s">
        <v>76</v>
      </c>
      <c r="J11" s="49">
        <v>4000</v>
      </c>
      <c r="M11">
        <v>158410</v>
      </c>
      <c r="R11" t="s">
        <v>451</v>
      </c>
      <c r="S11" s="21">
        <v>4554126126</v>
      </c>
      <c r="T11" t="s">
        <v>447</v>
      </c>
      <c r="U11" t="s">
        <v>452</v>
      </c>
      <c r="V11" s="32">
        <f>J15</f>
        <v>3870</v>
      </c>
    </row>
    <row r="12" spans="5:25">
      <c r="M12">
        <v>130000</v>
      </c>
    </row>
    <row r="13" spans="5:25">
      <c r="R13" t="s">
        <v>81</v>
      </c>
      <c r="S13">
        <v>4554126125</v>
      </c>
      <c r="T13" t="s">
        <v>447</v>
      </c>
      <c r="U13" t="s">
        <v>452</v>
      </c>
      <c r="V13">
        <v>19050</v>
      </c>
    </row>
    <row r="14" spans="5:25">
      <c r="F14" s="48" t="s">
        <v>249</v>
      </c>
      <c r="G14" s="48" t="s">
        <v>352</v>
      </c>
      <c r="H14" s="48" t="s">
        <v>419</v>
      </c>
      <c r="I14" s="48" t="s">
        <v>78</v>
      </c>
      <c r="J14" s="49">
        <v>9890</v>
      </c>
    </row>
    <row r="15" spans="5:25">
      <c r="F15" s="50" t="s">
        <v>249</v>
      </c>
      <c r="G15" s="50" t="s">
        <v>352</v>
      </c>
      <c r="H15" s="50" t="s">
        <v>426</v>
      </c>
      <c r="I15" s="50" t="s">
        <v>78</v>
      </c>
      <c r="J15" s="51">
        <v>3870</v>
      </c>
    </row>
    <row r="16" spans="5:25">
      <c r="F16" s="48"/>
      <c r="G16" s="48" t="s">
        <v>352</v>
      </c>
      <c r="H16" s="48"/>
      <c r="I16" s="48" t="s">
        <v>78</v>
      </c>
      <c r="J16" s="49">
        <v>4000</v>
      </c>
    </row>
    <row r="17" spans="8:23">
      <c r="M17">
        <v>175817</v>
      </c>
      <c r="N17">
        <v>1770</v>
      </c>
    </row>
    <row r="18" spans="8:23">
      <c r="M18">
        <v>152282.85999999999</v>
      </c>
      <c r="N18">
        <v>10373.14</v>
      </c>
      <c r="R18" s="53" t="s">
        <v>83</v>
      </c>
      <c r="S18" s="53">
        <v>4554126129</v>
      </c>
      <c r="T18" s="53" t="s">
        <v>447</v>
      </c>
      <c r="U18" s="53" t="s">
        <v>449</v>
      </c>
      <c r="V18" s="54">
        <v>11391</v>
      </c>
    </row>
    <row r="19" spans="8:23">
      <c r="H19" s="48" t="s">
        <v>419</v>
      </c>
      <c r="I19" s="48" t="s">
        <v>80</v>
      </c>
      <c r="J19" s="49">
        <v>2300</v>
      </c>
      <c r="M19" s="32">
        <f>M18+N18+N17</f>
        <v>164426</v>
      </c>
      <c r="R19" s="53" t="s">
        <v>83</v>
      </c>
      <c r="S19" s="53">
        <v>4554126129</v>
      </c>
      <c r="T19" s="53" t="s">
        <v>447</v>
      </c>
      <c r="U19" s="53" t="s">
        <v>452</v>
      </c>
      <c r="V19" s="54">
        <f>4519+4000</f>
        <v>8519</v>
      </c>
    </row>
    <row r="20" spans="8:23">
      <c r="H20" s="50" t="s">
        <v>419</v>
      </c>
      <c r="I20" s="50" t="s">
        <v>80</v>
      </c>
      <c r="J20" s="51">
        <v>3870</v>
      </c>
      <c r="M20" s="32">
        <f>M17-M19</f>
        <v>11391</v>
      </c>
      <c r="R20" s="53" t="s">
        <v>83</v>
      </c>
      <c r="S20" s="53">
        <v>4554126129</v>
      </c>
      <c r="T20" s="53" t="s">
        <v>447</v>
      </c>
      <c r="U20" s="53" t="s">
        <v>450</v>
      </c>
      <c r="V20" s="54">
        <v>6020</v>
      </c>
    </row>
    <row r="21" spans="8:23">
      <c r="H21" s="48" t="s">
        <v>419</v>
      </c>
      <c r="I21" s="48" t="s">
        <v>80</v>
      </c>
      <c r="J21" s="49">
        <v>6730</v>
      </c>
    </row>
    <row r="22" spans="8:23">
      <c r="H22" s="50"/>
      <c r="I22" s="50" t="s">
        <v>80</v>
      </c>
      <c r="J22" s="51">
        <v>4000</v>
      </c>
      <c r="R22" s="55" t="s">
        <v>77</v>
      </c>
      <c r="S22" s="56">
        <v>4554126127</v>
      </c>
      <c r="T22" s="53" t="s">
        <v>447</v>
      </c>
      <c r="U22" s="53" t="s">
        <v>452</v>
      </c>
      <c r="V22" s="54">
        <v>14110</v>
      </c>
    </row>
    <row r="23" spans="8:23">
      <c r="H23" s="48" t="s">
        <v>419</v>
      </c>
      <c r="I23" s="48" t="s">
        <v>80</v>
      </c>
      <c r="J23" s="49">
        <v>2150</v>
      </c>
      <c r="R23" s="55" t="s">
        <v>77</v>
      </c>
      <c r="S23" s="56">
        <v>4554126127</v>
      </c>
      <c r="T23" s="53" t="s">
        <v>447</v>
      </c>
      <c r="U23" s="53" t="s">
        <v>450</v>
      </c>
      <c r="V23" s="54">
        <v>1720</v>
      </c>
    </row>
    <row r="24" spans="8:23">
      <c r="M24">
        <v>26369</v>
      </c>
      <c r="N24">
        <v>21850</v>
      </c>
      <c r="R24" s="55" t="s">
        <v>77</v>
      </c>
      <c r="S24" s="56">
        <v>4554126127</v>
      </c>
      <c r="T24" s="53" t="s">
        <v>453</v>
      </c>
      <c r="U24" s="53" t="s">
        <v>454</v>
      </c>
      <c r="V24" s="54">
        <v>1500</v>
      </c>
    </row>
    <row r="25" spans="8:23">
      <c r="M25">
        <v>54.5</v>
      </c>
      <c r="N25">
        <f>(N24/9600)*20</f>
        <v>45.520833333333329</v>
      </c>
    </row>
    <row r="26" spans="8:23">
      <c r="M26">
        <f>(M24/M25)*20</f>
        <v>9676.6972477064228</v>
      </c>
      <c r="R26" s="53" t="s">
        <v>451</v>
      </c>
      <c r="S26" s="56">
        <v>4554126126</v>
      </c>
      <c r="T26" s="53" t="s">
        <v>447</v>
      </c>
      <c r="U26" s="53" t="s">
        <v>448</v>
      </c>
      <c r="V26" s="54">
        <f>M7-V30</f>
        <v>8265</v>
      </c>
    </row>
    <row r="27" spans="8:23">
      <c r="M27">
        <f>M26*20</f>
        <v>193533.94495412847</v>
      </c>
      <c r="R27" s="53" t="s">
        <v>451</v>
      </c>
      <c r="S27" s="56">
        <v>4554126126</v>
      </c>
      <c r="T27" s="53" t="s">
        <v>447</v>
      </c>
      <c r="U27" s="53" t="s">
        <v>450</v>
      </c>
      <c r="V27" s="54">
        <v>3870</v>
      </c>
    </row>
    <row r="28" spans="8:23">
      <c r="I28" s="50" t="s">
        <v>277</v>
      </c>
      <c r="R28" s="53" t="s">
        <v>451</v>
      </c>
      <c r="S28" s="56">
        <v>4554126126</v>
      </c>
      <c r="T28" s="53" t="s">
        <v>447</v>
      </c>
      <c r="U28" s="53" t="s">
        <v>452</v>
      </c>
      <c r="V28" s="54">
        <v>5625</v>
      </c>
    </row>
    <row r="29" spans="8:23">
      <c r="I29" s="48" t="s">
        <v>285</v>
      </c>
      <c r="W29" s="32"/>
    </row>
    <row r="30" spans="8:23">
      <c r="I30" s="50" t="s">
        <v>308</v>
      </c>
      <c r="R30" s="53" t="s">
        <v>81</v>
      </c>
      <c r="S30" s="53">
        <v>4554126125</v>
      </c>
      <c r="T30" s="53" t="s">
        <v>447</v>
      </c>
      <c r="U30" s="53" t="s">
        <v>448</v>
      </c>
      <c r="V30" s="54">
        <v>19050</v>
      </c>
    </row>
    <row r="31" spans="8:23">
      <c r="I31" s="48" t="s">
        <v>293</v>
      </c>
    </row>
    <row r="32" spans="8:23">
      <c r="R32" s="53" t="s">
        <v>75</v>
      </c>
      <c r="S32" s="53">
        <v>4554126128</v>
      </c>
      <c r="T32" s="53" t="s">
        <v>447</v>
      </c>
      <c r="U32" s="53" t="s">
        <v>455</v>
      </c>
      <c r="V32" s="54">
        <v>7740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AAB6F07D-6E9D-4337-92AC-FCA43CE6BC4F}">
          <x14:formula1>
            <xm:f>Commesse!$E$2:$E$107</xm:f>
          </x14:formula1>
          <xm:sqref>H3:H5 H19:H23 H14:H16 H7:H11</xm:sqref>
        </x14:dataValidation>
        <x14:dataValidation type="list" allowBlank="1" showInputMessage="1" showErrorMessage="1" xr:uid="{F845DCD1-5573-4174-BBEC-9FC495025C89}">
          <x14:formula1>
            <xm:f>Dati!$A$2:$A$10</xm:f>
          </x14:formula1>
          <xm:sqref>G3:G5 G7:G11 G14:G16</xm:sqref>
        </x14:dataValidation>
        <x14:dataValidation type="list" allowBlank="1" showInputMessage="1" showErrorMessage="1" xr:uid="{4CF316CF-FCAF-4A8B-9026-A262381BCB0B}">
          <x14:formula1>
            <xm:f>'Activities - Leonardo'!$B$2:$B$3999</xm:f>
          </x14:formula1>
          <xm:sqref>F3:F5 F14:F16 F7:F11 I28:I31</xm:sqref>
        </x14:dataValidation>
        <x14:dataValidation type="list" allowBlank="1" showInputMessage="1" showErrorMessage="1" xr:uid="{15F84AC6-835F-4CF6-874C-EC326F2F7AC7}">
          <x14:formula1>
            <xm:f>Offers!$B$2:$B$2599</xm:f>
          </x14:formula1>
          <xm:sqref>I3:I5 I19:I23 I14:I16 I7:I11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BD49A-3983-47D1-8E1E-29C95952D091}">
  <sheetPr>
    <tabColor theme="7" tint="0.59999389629810485"/>
  </sheetPr>
  <dimension ref="A1:T41"/>
  <sheetViews>
    <sheetView workbookViewId="0">
      <pane ySplit="1" topLeftCell="A2" activePane="bottomLeft" state="frozen"/>
      <selection pane="bottomLeft" activeCell="B13" sqref="B13"/>
    </sheetView>
  </sheetViews>
  <sheetFormatPr defaultRowHeight="15"/>
  <cols>
    <col min="2" max="2" width="49.28515625" style="28" bestFit="1" customWidth="1"/>
    <col min="3" max="3" width="14" bestFit="1" customWidth="1"/>
    <col min="4" max="4" width="13.42578125" bestFit="1" customWidth="1"/>
    <col min="5" max="5" width="14" customWidth="1"/>
    <col min="6" max="6" width="9.140625" customWidth="1"/>
    <col min="7" max="7" width="32.7109375" customWidth="1"/>
    <col min="8" max="8" width="13.42578125" bestFit="1" customWidth="1"/>
    <col min="9" max="9" width="17.85546875" bestFit="1" customWidth="1"/>
    <col min="10" max="10" width="11" bestFit="1" customWidth="1"/>
    <col min="11" max="11" width="12.42578125" bestFit="1" customWidth="1"/>
    <col min="12" max="13" width="12.140625" bestFit="1" customWidth="1"/>
    <col min="16" max="16" width="12.140625" bestFit="1" customWidth="1"/>
    <col min="17" max="17" width="17.42578125" bestFit="1" customWidth="1"/>
  </cols>
  <sheetData>
    <row r="1" spans="1:20" s="7" customFormat="1">
      <c r="A1" s="1" t="s">
        <v>0</v>
      </c>
      <c r="B1" s="27" t="s">
        <v>154</v>
      </c>
      <c r="C1" s="2" t="s">
        <v>155</v>
      </c>
      <c r="D1" s="3" t="s">
        <v>157</v>
      </c>
      <c r="E1" s="3" t="s">
        <v>158</v>
      </c>
      <c r="F1" s="3" t="s">
        <v>159</v>
      </c>
      <c r="G1" s="3" t="s">
        <v>4</v>
      </c>
      <c r="H1" s="4" t="s">
        <v>160</v>
      </c>
      <c r="I1" s="4" t="s">
        <v>161</v>
      </c>
      <c r="J1" s="5" t="s">
        <v>162</v>
      </c>
      <c r="K1" s="4" t="s">
        <v>163</v>
      </c>
      <c r="L1" s="4" t="s">
        <v>164</v>
      </c>
      <c r="M1" s="4" t="s">
        <v>165</v>
      </c>
      <c r="N1" s="4" t="s">
        <v>166</v>
      </c>
      <c r="O1" s="4" t="s">
        <v>456</v>
      </c>
      <c r="P1" s="4" t="s">
        <v>168</v>
      </c>
      <c r="Q1" s="6" t="s">
        <v>169</v>
      </c>
      <c r="R1" s="7" t="s">
        <v>170</v>
      </c>
    </row>
    <row r="2" spans="1:20">
      <c r="A2" s="8"/>
      <c r="B2" s="12" t="s">
        <v>457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9"/>
      <c r="P2" s="9"/>
      <c r="Q2" s="15"/>
      <c r="R2" s="8"/>
      <c r="S2" s="8"/>
      <c r="T2" s="8"/>
    </row>
    <row r="3" spans="1:20">
      <c r="A3" s="8"/>
      <c r="B3" s="12" t="s">
        <v>458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9"/>
      <c r="P3" s="9"/>
      <c r="Q3" s="15"/>
      <c r="R3" s="8"/>
      <c r="S3" s="8"/>
      <c r="T3" s="8"/>
    </row>
    <row r="4" spans="1:20">
      <c r="B4" s="12" t="s">
        <v>459</v>
      </c>
      <c r="C4" s="12"/>
      <c r="D4" s="12" t="s">
        <v>460</v>
      </c>
      <c r="E4" s="12"/>
      <c r="F4" s="12" t="s">
        <v>230</v>
      </c>
      <c r="G4" s="12" t="s">
        <v>461</v>
      </c>
      <c r="H4" s="46">
        <v>39130</v>
      </c>
      <c r="I4" s="46"/>
      <c r="J4" s="46"/>
      <c r="K4" s="46">
        <f>H4-L4</f>
        <v>33970</v>
      </c>
      <c r="L4" s="46">
        <v>5160</v>
      </c>
      <c r="M4" s="12"/>
      <c r="N4" s="12"/>
      <c r="O4" s="8"/>
      <c r="P4" s="8"/>
      <c r="R4" s="8"/>
      <c r="S4" s="8"/>
      <c r="T4" s="8"/>
    </row>
    <row r="5" spans="1:20">
      <c r="B5" s="21" t="s">
        <v>462</v>
      </c>
      <c r="C5" s="12"/>
      <c r="D5" s="12" t="s">
        <v>460</v>
      </c>
      <c r="E5" s="12"/>
      <c r="F5" s="12" t="s">
        <v>230</v>
      </c>
      <c r="G5" s="12" t="s">
        <v>461</v>
      </c>
      <c r="H5" s="46">
        <v>15050</v>
      </c>
      <c r="I5" s="46"/>
      <c r="J5" s="46"/>
      <c r="K5" s="46">
        <f>H5-L5</f>
        <v>15050</v>
      </c>
      <c r="L5" s="46">
        <v>0</v>
      </c>
      <c r="M5" s="12"/>
      <c r="N5" s="12"/>
      <c r="O5" s="8"/>
      <c r="P5" s="8"/>
      <c r="R5" s="8"/>
      <c r="S5" s="8"/>
      <c r="T5" s="8"/>
    </row>
    <row r="6" spans="1:20" ht="15" customHeight="1">
      <c r="B6" s="12" t="s">
        <v>463</v>
      </c>
      <c r="C6" s="13"/>
      <c r="D6" s="12" t="s">
        <v>460</v>
      </c>
      <c r="E6" s="14"/>
      <c r="F6" s="12" t="s">
        <v>230</v>
      </c>
      <c r="G6" s="12" t="s">
        <v>461</v>
      </c>
      <c r="H6" s="9">
        <v>25800</v>
      </c>
      <c r="I6" s="9"/>
      <c r="J6" s="10"/>
      <c r="K6" s="46">
        <v>25800</v>
      </c>
      <c r="L6" s="46"/>
      <c r="R6" s="8"/>
      <c r="S6" s="8"/>
      <c r="T6" s="8"/>
    </row>
    <row r="7" spans="1:20">
      <c r="B7" s="12" t="s">
        <v>464</v>
      </c>
      <c r="C7" s="13"/>
      <c r="D7" s="12" t="s">
        <v>460</v>
      </c>
      <c r="E7" s="14"/>
      <c r="F7" s="12" t="s">
        <v>230</v>
      </c>
      <c r="G7" s="12" t="s">
        <v>461</v>
      </c>
      <c r="H7" s="9">
        <v>40850</v>
      </c>
      <c r="I7" s="9"/>
      <c r="J7" s="10"/>
      <c r="K7" s="46">
        <v>33970</v>
      </c>
      <c r="L7" s="46">
        <v>6880</v>
      </c>
      <c r="R7" s="19"/>
      <c r="S7" s="8"/>
      <c r="T7" s="8"/>
    </row>
    <row r="8" spans="1:20">
      <c r="B8" s="12" t="s">
        <v>465</v>
      </c>
      <c r="C8" s="13"/>
      <c r="D8" s="12" t="s">
        <v>460</v>
      </c>
      <c r="E8" s="14"/>
      <c r="F8" s="12" t="s">
        <v>230</v>
      </c>
      <c r="G8" s="12" t="s">
        <v>461</v>
      </c>
      <c r="H8" s="9">
        <v>29670</v>
      </c>
      <c r="I8" s="9"/>
      <c r="J8" s="10"/>
      <c r="K8" s="46">
        <v>29670</v>
      </c>
      <c r="L8" s="46"/>
      <c r="R8" s="8"/>
      <c r="S8" s="8"/>
      <c r="T8" s="8"/>
    </row>
    <row r="9" spans="1:20">
      <c r="B9" s="12" t="s">
        <v>466</v>
      </c>
      <c r="C9" s="13"/>
      <c r="D9" s="12" t="s">
        <v>460</v>
      </c>
      <c r="E9" s="14"/>
      <c r="F9" s="12" t="s">
        <v>230</v>
      </c>
      <c r="G9" s="12" t="s">
        <v>461</v>
      </c>
      <c r="H9" s="9">
        <v>141000</v>
      </c>
      <c r="I9" s="9"/>
      <c r="J9" s="10"/>
      <c r="K9" s="32">
        <f>H9-L9</f>
        <v>101000</v>
      </c>
      <c r="L9" s="46">
        <v>40000</v>
      </c>
      <c r="R9" s="8"/>
      <c r="S9" s="8"/>
      <c r="T9" s="8"/>
    </row>
    <row r="10" spans="1:20">
      <c r="B10" s="12" t="s">
        <v>467</v>
      </c>
      <c r="C10" s="20"/>
      <c r="D10" s="12" t="s">
        <v>460</v>
      </c>
      <c r="E10" s="14"/>
      <c r="F10" s="12" t="s">
        <v>230</v>
      </c>
      <c r="G10" s="12" t="s">
        <v>461</v>
      </c>
      <c r="H10" s="9">
        <v>32035</v>
      </c>
      <c r="I10" s="9"/>
      <c r="J10" s="10"/>
      <c r="K10" s="32">
        <f>H10-L10</f>
        <v>15265</v>
      </c>
      <c r="L10" s="32">
        <f>39*430</f>
        <v>16770</v>
      </c>
      <c r="R10" s="8"/>
      <c r="S10" s="8"/>
      <c r="T10" s="8"/>
    </row>
    <row r="11" spans="1:20">
      <c r="B11" s="12" t="s">
        <v>468</v>
      </c>
      <c r="C11" s="13"/>
      <c r="D11" s="12" t="s">
        <v>460</v>
      </c>
      <c r="E11" s="14"/>
      <c r="F11" s="12" t="s">
        <v>230</v>
      </c>
      <c r="G11" s="12" t="s">
        <v>461</v>
      </c>
      <c r="H11" s="9">
        <v>29885</v>
      </c>
      <c r="I11" s="9"/>
      <c r="J11" s="10"/>
      <c r="K11" s="32">
        <f>H11-L11</f>
        <v>22145</v>
      </c>
      <c r="L11" s="32">
        <f>18*430</f>
        <v>7740</v>
      </c>
      <c r="R11" s="8"/>
      <c r="S11" s="8"/>
      <c r="T11" s="8"/>
    </row>
    <row r="12" spans="1:20">
      <c r="B12" s="12" t="s">
        <v>469</v>
      </c>
      <c r="C12" s="13"/>
      <c r="D12" s="12" t="s">
        <v>460</v>
      </c>
      <c r="E12" s="14"/>
      <c r="F12" s="12" t="s">
        <v>230</v>
      </c>
      <c r="G12" s="12" t="s">
        <v>461</v>
      </c>
      <c r="H12" s="9">
        <v>18705</v>
      </c>
      <c r="I12" s="9"/>
      <c r="J12" s="10"/>
      <c r="K12" s="32">
        <v>18705</v>
      </c>
      <c r="R12" s="8"/>
      <c r="S12" s="8"/>
      <c r="T12" s="8"/>
    </row>
    <row r="13" spans="1:20">
      <c r="B13" s="12"/>
      <c r="C13" s="13"/>
      <c r="D13" s="14"/>
      <c r="E13" s="14"/>
      <c r="F13" s="14"/>
      <c r="G13" s="22"/>
      <c r="H13" s="9"/>
      <c r="I13" s="9"/>
      <c r="J13" s="10"/>
      <c r="R13" s="8"/>
      <c r="S13" s="8"/>
      <c r="T13" s="8"/>
    </row>
    <row r="14" spans="1:20">
      <c r="B14" s="12"/>
      <c r="C14" s="13"/>
      <c r="D14" s="14"/>
      <c r="E14" s="14"/>
      <c r="F14" s="14"/>
      <c r="G14" s="22"/>
      <c r="H14" s="9"/>
      <c r="I14" s="9"/>
      <c r="J14" s="10"/>
      <c r="R14" s="8"/>
      <c r="S14" s="8"/>
      <c r="T14" s="8"/>
    </row>
    <row r="15" spans="1:20">
      <c r="B15" s="12"/>
      <c r="C15" s="13"/>
      <c r="D15" s="14"/>
      <c r="E15" s="14"/>
      <c r="F15" s="14"/>
      <c r="G15" s="22"/>
      <c r="H15" s="9"/>
      <c r="I15" s="9"/>
      <c r="J15" s="10"/>
      <c r="R15" s="8"/>
      <c r="S15" s="8"/>
      <c r="T15" s="8"/>
    </row>
    <row r="16" spans="1:20">
      <c r="B16" s="12"/>
      <c r="C16" s="13"/>
      <c r="D16" s="14"/>
      <c r="E16" s="14"/>
      <c r="F16" s="14"/>
      <c r="G16" s="22"/>
      <c r="H16" s="9"/>
      <c r="I16" s="9"/>
      <c r="J16" s="10"/>
      <c r="R16" s="8"/>
      <c r="S16" s="8"/>
      <c r="T16" s="8"/>
    </row>
    <row r="17" spans="2:20">
      <c r="B17" s="12"/>
      <c r="C17" s="13"/>
      <c r="D17" s="14"/>
      <c r="E17" s="14"/>
      <c r="F17" s="14"/>
      <c r="G17" s="22"/>
      <c r="H17" s="9"/>
      <c r="I17" s="9"/>
      <c r="J17" s="10"/>
      <c r="R17" s="8"/>
      <c r="S17" s="8"/>
      <c r="T17" s="8"/>
    </row>
    <row r="18" spans="2:20">
      <c r="B18" s="12"/>
      <c r="C18" s="13"/>
      <c r="D18" s="14"/>
      <c r="E18" s="14"/>
      <c r="F18" s="14"/>
      <c r="G18" s="14"/>
      <c r="H18" s="9"/>
      <c r="I18" s="9"/>
      <c r="J18" s="10"/>
      <c r="R18" s="8"/>
      <c r="S18" s="8"/>
      <c r="T18" s="8"/>
    </row>
    <row r="19" spans="2:20">
      <c r="B19" s="12"/>
      <c r="C19" s="13"/>
      <c r="D19" s="14"/>
      <c r="E19" s="14"/>
      <c r="F19" s="14"/>
      <c r="G19" s="22"/>
      <c r="H19" s="9"/>
      <c r="I19" s="9"/>
      <c r="J19" s="10"/>
      <c r="R19" s="8"/>
      <c r="S19" s="8"/>
      <c r="T19" s="8"/>
    </row>
    <row r="20" spans="2:20">
      <c r="B20" s="12"/>
      <c r="C20" s="13"/>
      <c r="D20" s="14"/>
      <c r="E20" s="14"/>
      <c r="F20" s="14"/>
      <c r="G20" s="22"/>
      <c r="H20" s="9"/>
      <c r="I20" s="9"/>
      <c r="J20" s="10"/>
      <c r="R20" s="8"/>
      <c r="S20" s="8"/>
      <c r="T20" s="8"/>
    </row>
    <row r="21" spans="2:20">
      <c r="B21" s="12"/>
      <c r="C21" s="13"/>
      <c r="D21" s="14"/>
      <c r="E21" s="14"/>
      <c r="F21" s="14"/>
      <c r="G21" s="22"/>
      <c r="H21" s="9"/>
      <c r="I21" s="9"/>
      <c r="J21" s="10"/>
      <c r="R21" s="8"/>
      <c r="S21" s="8"/>
      <c r="T21" s="25"/>
    </row>
    <row r="22" spans="2:20">
      <c r="B22" s="12"/>
      <c r="C22" s="13"/>
      <c r="D22" s="14"/>
      <c r="E22" s="14"/>
      <c r="F22" s="14"/>
      <c r="G22" s="14"/>
      <c r="H22" s="9"/>
      <c r="I22" s="9"/>
      <c r="J22" s="10"/>
      <c r="R22" s="8"/>
      <c r="S22" s="8"/>
      <c r="T22" s="8"/>
    </row>
    <row r="23" spans="2:20">
      <c r="B23" s="12"/>
      <c r="C23" s="13"/>
      <c r="D23" s="14"/>
      <c r="E23" s="14"/>
      <c r="F23" s="14"/>
      <c r="G23" s="14"/>
      <c r="H23" s="9"/>
      <c r="I23" s="9"/>
      <c r="J23" s="10"/>
      <c r="R23" s="8"/>
      <c r="S23" s="8"/>
      <c r="T23" s="8"/>
    </row>
    <row r="24" spans="2:20">
      <c r="B24" s="12"/>
      <c r="C24" s="13"/>
      <c r="D24" s="14"/>
      <c r="E24" s="14"/>
      <c r="F24" s="14"/>
      <c r="G24" s="14"/>
      <c r="H24" s="9"/>
      <c r="I24" s="9"/>
      <c r="J24" s="10"/>
      <c r="R24" s="8"/>
      <c r="S24" s="8"/>
      <c r="T24" s="8"/>
    </row>
    <row r="25" spans="2:20">
      <c r="B25" s="12"/>
      <c r="C25" s="20"/>
      <c r="D25" s="8"/>
      <c r="E25" s="14"/>
      <c r="F25" s="8"/>
      <c r="G25" s="14"/>
      <c r="H25" s="9"/>
      <c r="I25" s="9"/>
      <c r="J25" s="10"/>
      <c r="R25" s="8"/>
      <c r="S25" s="8"/>
      <c r="T25" s="25"/>
    </row>
    <row r="26" spans="2:20">
      <c r="B26" s="12"/>
      <c r="C26" s="13"/>
      <c r="D26" s="14"/>
      <c r="E26" s="14"/>
      <c r="F26" s="14"/>
      <c r="G26" s="14"/>
      <c r="H26" s="9"/>
      <c r="I26" s="9"/>
      <c r="J26" s="10"/>
      <c r="R26" s="8"/>
      <c r="S26" s="8"/>
      <c r="T26" s="8"/>
    </row>
    <row r="27" spans="2:20">
      <c r="B27" s="12"/>
      <c r="C27" s="13"/>
      <c r="D27" s="14"/>
      <c r="E27" s="14"/>
      <c r="F27" s="14"/>
      <c r="G27" s="14"/>
      <c r="H27" s="9"/>
      <c r="I27" s="9"/>
      <c r="J27" s="10"/>
      <c r="R27" s="8"/>
      <c r="S27" s="8"/>
      <c r="T27" s="8"/>
    </row>
    <row r="28" spans="2:20">
      <c r="B28" s="26"/>
      <c r="C28" s="13"/>
      <c r="D28" s="14"/>
      <c r="E28" s="14"/>
      <c r="F28" s="14"/>
      <c r="G28" s="14"/>
      <c r="H28" s="9"/>
      <c r="I28" s="9"/>
      <c r="J28" s="10"/>
      <c r="R28" s="8"/>
      <c r="S28" s="8"/>
      <c r="T28" s="8"/>
    </row>
    <row r="29" spans="2:20">
      <c r="B29" s="29"/>
      <c r="C29" s="13"/>
      <c r="D29" s="14"/>
      <c r="E29" s="14"/>
      <c r="F29" s="14"/>
      <c r="G29" s="14"/>
      <c r="H29" s="9"/>
      <c r="I29" s="9"/>
      <c r="J29" s="10"/>
      <c r="R29" s="8"/>
      <c r="S29" s="8"/>
      <c r="T29" s="8"/>
    </row>
    <row r="30" spans="2:20">
      <c r="B30" s="8"/>
      <c r="C30" s="13"/>
      <c r="D30" s="14"/>
      <c r="E30" s="14"/>
      <c r="F30" s="22"/>
      <c r="G30" s="14"/>
      <c r="H30" s="9"/>
      <c r="I30" s="9"/>
      <c r="J30" s="10"/>
      <c r="R30" s="8"/>
      <c r="S30" s="8"/>
      <c r="T30" s="8"/>
    </row>
    <row r="31" spans="2:20">
      <c r="B31" s="8"/>
      <c r="C31" s="13"/>
      <c r="D31" s="14"/>
      <c r="E31" s="14"/>
      <c r="F31" s="14"/>
      <c r="G31" s="14"/>
      <c r="H31" s="9"/>
      <c r="I31" s="9"/>
      <c r="J31" s="10"/>
      <c r="R31" s="8"/>
      <c r="S31" s="8"/>
      <c r="T31" s="8"/>
    </row>
    <row r="32" spans="2:20">
      <c r="B32" s="8"/>
      <c r="C32" s="13"/>
      <c r="D32" s="14"/>
      <c r="E32" s="14"/>
      <c r="F32" s="14"/>
      <c r="G32" s="14"/>
      <c r="H32" s="9"/>
      <c r="I32" s="9"/>
      <c r="J32" s="10"/>
      <c r="R32" s="11"/>
      <c r="S32" s="11"/>
      <c r="T32" s="8"/>
    </row>
    <row r="33" spans="2:20">
      <c r="B33" s="8"/>
      <c r="C33" s="13"/>
      <c r="D33" s="14"/>
      <c r="E33" s="14"/>
      <c r="F33" s="14"/>
      <c r="G33" s="14"/>
      <c r="H33" s="9"/>
      <c r="I33" s="9"/>
      <c r="J33" s="10"/>
      <c r="R33" s="8"/>
      <c r="S33" s="8"/>
      <c r="T33" s="8"/>
    </row>
    <row r="34" spans="2:20">
      <c r="H34" s="9"/>
    </row>
    <row r="35" spans="2:20">
      <c r="B35" s="8"/>
      <c r="C35" s="13"/>
      <c r="D35" s="14"/>
      <c r="E35" s="14"/>
      <c r="F35" s="14"/>
      <c r="G35" s="14"/>
      <c r="H35" s="9"/>
      <c r="I35" s="9"/>
      <c r="J35" s="10"/>
      <c r="R35" s="8"/>
      <c r="S35" s="8"/>
      <c r="T35" s="8"/>
    </row>
    <row r="36" spans="2:20">
      <c r="B36" s="8"/>
      <c r="C36" s="13"/>
      <c r="D36" s="14"/>
      <c r="E36" s="14"/>
      <c r="F36" s="14"/>
      <c r="G36" s="14"/>
      <c r="H36" s="9"/>
      <c r="I36" s="9"/>
      <c r="J36" s="10"/>
      <c r="R36" s="8"/>
      <c r="S36" s="8"/>
      <c r="T36" s="8"/>
    </row>
    <row r="37" spans="2:20">
      <c r="B37" s="8"/>
      <c r="C37" s="13"/>
      <c r="D37" s="14"/>
      <c r="E37" s="14"/>
      <c r="F37" s="14"/>
      <c r="G37" s="14"/>
      <c r="H37" s="9"/>
      <c r="I37" s="9"/>
      <c r="J37" s="10"/>
      <c r="R37" s="8"/>
      <c r="S37" s="8"/>
      <c r="T37" s="8"/>
    </row>
    <row r="38" spans="2:20">
      <c r="B38" s="8"/>
      <c r="C38" s="13"/>
      <c r="D38" s="14"/>
      <c r="E38" s="14"/>
      <c r="F38" s="14"/>
      <c r="G38" s="14"/>
      <c r="H38" s="9"/>
      <c r="I38" s="9"/>
      <c r="J38" s="10"/>
      <c r="R38" s="8"/>
      <c r="S38" s="8"/>
      <c r="T38" s="8"/>
    </row>
    <row r="39" spans="2:20">
      <c r="B39" s="8"/>
      <c r="C39" s="13"/>
      <c r="D39" s="14"/>
      <c r="E39" s="14"/>
      <c r="F39" s="14"/>
      <c r="G39" s="14"/>
      <c r="H39" s="9"/>
      <c r="I39" s="9"/>
      <c r="J39" s="10"/>
      <c r="R39" s="8"/>
      <c r="S39" s="8"/>
      <c r="T39" s="8"/>
    </row>
    <row r="40" spans="2:20">
      <c r="B40" s="8"/>
      <c r="C40" s="20"/>
      <c r="D40" s="14"/>
      <c r="E40" s="14"/>
      <c r="F40" s="14"/>
      <c r="G40" s="14"/>
      <c r="H40" s="9"/>
      <c r="I40" s="9"/>
      <c r="J40" s="10"/>
      <c r="R40" s="8"/>
      <c r="S40" s="8"/>
      <c r="T40" s="8"/>
    </row>
    <row r="41" spans="2:20">
      <c r="B41" s="8"/>
      <c r="C41" s="13"/>
      <c r="D41" s="14"/>
      <c r="E41" s="14"/>
      <c r="F41" s="14"/>
      <c r="G41" s="14"/>
      <c r="H41" s="9"/>
      <c r="I41" s="9"/>
      <c r="J41" s="10"/>
      <c r="R41" s="8"/>
      <c r="S41" s="8"/>
      <c r="T41" s="8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6D2DA-09BB-4E0A-B8B6-7650C6C48054}">
  <sheetPr>
    <tabColor theme="7" tint="0.59999389629810485"/>
  </sheetPr>
  <dimension ref="A1:K116"/>
  <sheetViews>
    <sheetView tabSelected="1" workbookViewId="0">
      <pane ySplit="1" topLeftCell="A12" activePane="bottomLeft" state="frozen"/>
      <selection pane="bottomLeft" activeCell="G37" sqref="G37"/>
    </sheetView>
  </sheetViews>
  <sheetFormatPr defaultRowHeight="15"/>
  <cols>
    <col min="2" max="2" width="16.7109375" customWidth="1"/>
    <col min="3" max="3" width="26.28515625" customWidth="1"/>
    <col min="4" max="4" width="10.28515625" bestFit="1" customWidth="1"/>
    <col min="5" max="5" width="48.140625" bestFit="1" customWidth="1"/>
    <col min="6" max="6" width="58.85546875" bestFit="1" customWidth="1"/>
    <col min="7" max="7" width="16.42578125" style="32" customWidth="1"/>
    <col min="8" max="8" width="12" customWidth="1"/>
    <col min="13" max="13" width="14.42578125" bestFit="1" customWidth="1"/>
    <col min="14" max="14" width="12" bestFit="1" customWidth="1"/>
    <col min="15" max="15" width="12.140625" bestFit="1" customWidth="1"/>
    <col min="16" max="16" width="20.28515625" bestFit="1" customWidth="1"/>
    <col min="17" max="17" width="12.140625" bestFit="1" customWidth="1"/>
  </cols>
  <sheetData>
    <row r="1" spans="1:9" s="7" customFormat="1">
      <c r="A1" s="1" t="s">
        <v>0</v>
      </c>
      <c r="B1" s="1" t="s">
        <v>1</v>
      </c>
      <c r="C1" s="1" t="s">
        <v>347</v>
      </c>
      <c r="D1" s="3" t="s">
        <v>4</v>
      </c>
      <c r="E1" s="3" t="s">
        <v>348</v>
      </c>
      <c r="F1" s="3" t="s">
        <v>349</v>
      </c>
      <c r="G1" s="4" t="s">
        <v>160</v>
      </c>
    </row>
    <row r="2" spans="1:9">
      <c r="A2" s="8"/>
      <c r="C2" s="8" t="s">
        <v>457</v>
      </c>
      <c r="D2" s="14" t="s">
        <v>352</v>
      </c>
      <c r="E2" s="14" t="s">
        <v>470</v>
      </c>
      <c r="G2" s="32">
        <v>158410</v>
      </c>
      <c r="H2" s="8"/>
      <c r="I2" s="8"/>
    </row>
    <row r="3" spans="1:9">
      <c r="C3" s="8" t="s">
        <v>457</v>
      </c>
      <c r="D3" s="14" t="s">
        <v>352</v>
      </c>
      <c r="E3" s="14" t="s">
        <v>471</v>
      </c>
      <c r="G3" s="32">
        <v>20500</v>
      </c>
      <c r="H3" s="8"/>
      <c r="I3" s="8"/>
    </row>
    <row r="4" spans="1:9">
      <c r="C4" s="8" t="s">
        <v>458</v>
      </c>
      <c r="D4" s="14" t="s">
        <v>352</v>
      </c>
      <c r="E4" s="14" t="s">
        <v>471</v>
      </c>
      <c r="G4" s="32">
        <v>4700</v>
      </c>
      <c r="H4" s="8"/>
      <c r="I4" s="8"/>
    </row>
    <row r="5" spans="1:9">
      <c r="C5" s="8" t="s">
        <v>458</v>
      </c>
      <c r="D5" s="14" t="s">
        <v>352</v>
      </c>
      <c r="E5" s="14" t="s">
        <v>472</v>
      </c>
      <c r="G5" s="32">
        <v>10735</v>
      </c>
      <c r="H5" s="8"/>
      <c r="I5" s="8"/>
    </row>
    <row r="6" spans="1:9">
      <c r="B6" t="s">
        <v>423</v>
      </c>
      <c r="C6" s="8" t="s">
        <v>457</v>
      </c>
      <c r="D6" s="14" t="s">
        <v>352</v>
      </c>
      <c r="E6" s="14" t="s">
        <v>471</v>
      </c>
      <c r="F6" t="s">
        <v>82</v>
      </c>
      <c r="G6" s="32">
        <v>4000</v>
      </c>
      <c r="H6" s="8"/>
      <c r="I6" s="8"/>
    </row>
    <row r="7" spans="1:9">
      <c r="B7" t="s">
        <v>423</v>
      </c>
      <c r="C7" s="8" t="s">
        <v>457</v>
      </c>
      <c r="D7" s="14" t="s">
        <v>352</v>
      </c>
      <c r="E7" s="14" t="s">
        <v>471</v>
      </c>
      <c r="F7" t="s">
        <v>76</v>
      </c>
      <c r="G7" s="32">
        <v>4000</v>
      </c>
      <c r="H7" s="8"/>
      <c r="I7" s="8"/>
    </row>
    <row r="8" spans="1:9">
      <c r="B8" t="s">
        <v>423</v>
      </c>
      <c r="C8" s="8" t="s">
        <v>457</v>
      </c>
      <c r="D8" s="14" t="s">
        <v>352</v>
      </c>
      <c r="E8" s="14" t="s">
        <v>471</v>
      </c>
      <c r="F8" t="s">
        <v>78</v>
      </c>
      <c r="G8" s="32">
        <v>4000</v>
      </c>
      <c r="H8" s="8"/>
      <c r="I8" s="8"/>
    </row>
    <row r="9" spans="1:9">
      <c r="B9" t="s">
        <v>423</v>
      </c>
      <c r="C9" s="8" t="s">
        <v>457</v>
      </c>
      <c r="D9" s="14" t="s">
        <v>352</v>
      </c>
      <c r="E9" s="14" t="s">
        <v>471</v>
      </c>
      <c r="F9" t="s">
        <v>80</v>
      </c>
      <c r="G9" s="32">
        <v>4000</v>
      </c>
      <c r="H9" s="8"/>
      <c r="I9" s="8"/>
    </row>
    <row r="10" spans="1:9">
      <c r="B10" t="s">
        <v>423</v>
      </c>
      <c r="C10" s="8" t="s">
        <v>457</v>
      </c>
      <c r="D10" s="14" t="s">
        <v>352</v>
      </c>
      <c r="E10" s="14" t="s">
        <v>471</v>
      </c>
      <c r="F10" t="s">
        <v>93</v>
      </c>
      <c r="G10" s="32">
        <v>7000</v>
      </c>
      <c r="H10" s="8"/>
      <c r="I10" s="8"/>
    </row>
    <row r="11" spans="1:9">
      <c r="B11" t="s">
        <v>423</v>
      </c>
      <c r="C11" s="8" t="s">
        <v>457</v>
      </c>
      <c r="D11" s="14" t="s">
        <v>352</v>
      </c>
      <c r="E11" s="14" t="s">
        <v>471</v>
      </c>
      <c r="F11" t="s">
        <v>97</v>
      </c>
      <c r="G11" s="32">
        <v>4315</v>
      </c>
      <c r="H11" s="8"/>
      <c r="I11" s="8"/>
    </row>
    <row r="12" spans="1:9">
      <c r="B12" t="s">
        <v>473</v>
      </c>
      <c r="C12" s="8" t="s">
        <v>459</v>
      </c>
      <c r="D12" s="14" t="s">
        <v>352</v>
      </c>
      <c r="E12" s="14" t="s">
        <v>474</v>
      </c>
      <c r="F12" t="s">
        <v>108</v>
      </c>
      <c r="G12" s="32">
        <v>37456</v>
      </c>
    </row>
    <row r="13" spans="1:9">
      <c r="B13" s="21" t="s">
        <v>475</v>
      </c>
      <c r="C13" s="8" t="s">
        <v>462</v>
      </c>
      <c r="D13" s="14" t="s">
        <v>352</v>
      </c>
      <c r="E13" s="14" t="s">
        <v>474</v>
      </c>
      <c r="F13" t="s">
        <v>110</v>
      </c>
      <c r="G13" s="32">
        <v>13050</v>
      </c>
      <c r="I13" t="s">
        <v>476</v>
      </c>
    </row>
    <row r="14" spans="1:9">
      <c r="B14" t="s">
        <v>477</v>
      </c>
      <c r="C14" s="8" t="s">
        <v>463</v>
      </c>
      <c r="D14" s="14" t="s">
        <v>352</v>
      </c>
      <c r="E14" s="14" t="s">
        <v>474</v>
      </c>
      <c r="F14" t="s">
        <v>112</v>
      </c>
      <c r="G14" s="32">
        <v>17090</v>
      </c>
      <c r="I14" t="s">
        <v>478</v>
      </c>
    </row>
    <row r="15" spans="1:9">
      <c r="B15" t="s">
        <v>479</v>
      </c>
      <c r="C15" s="8" t="s">
        <v>463</v>
      </c>
      <c r="D15" s="14" t="s">
        <v>352</v>
      </c>
      <c r="E15" s="14" t="s">
        <v>480</v>
      </c>
      <c r="F15" t="s">
        <v>112</v>
      </c>
      <c r="G15" s="32">
        <v>5160</v>
      </c>
    </row>
    <row r="16" spans="1:9">
      <c r="B16" t="s">
        <v>481</v>
      </c>
      <c r="C16" s="8" t="s">
        <v>464</v>
      </c>
      <c r="D16" t="s">
        <v>352</v>
      </c>
      <c r="E16" s="14" t="s">
        <v>474</v>
      </c>
      <c r="F16" t="s">
        <v>138</v>
      </c>
      <c r="G16" s="32">
        <v>40850</v>
      </c>
    </row>
    <row r="17" spans="2:11">
      <c r="B17" t="s">
        <v>482</v>
      </c>
      <c r="C17" s="8" t="s">
        <v>465</v>
      </c>
      <c r="D17" t="s">
        <v>352</v>
      </c>
      <c r="E17" s="14" t="s">
        <v>474</v>
      </c>
      <c r="F17" t="s">
        <v>144</v>
      </c>
      <c r="G17" s="32">
        <v>29670</v>
      </c>
    </row>
    <row r="18" spans="2:11">
      <c r="C18" s="8" t="s">
        <v>466</v>
      </c>
      <c r="D18" s="14" t="s">
        <v>352</v>
      </c>
      <c r="E18" s="14" t="s">
        <v>483</v>
      </c>
      <c r="F18" t="s">
        <v>101</v>
      </c>
      <c r="G18" s="32">
        <v>25000</v>
      </c>
    </row>
    <row r="19" spans="2:11">
      <c r="C19" s="8" t="s">
        <v>466</v>
      </c>
      <c r="D19" s="14" t="s">
        <v>352</v>
      </c>
      <c r="E19" s="14" t="s">
        <v>483</v>
      </c>
      <c r="F19" t="s">
        <v>149</v>
      </c>
      <c r="G19" s="32">
        <v>15000</v>
      </c>
      <c r="K19">
        <f>40-22.5</f>
        <v>17.5</v>
      </c>
    </row>
    <row r="20" spans="2:11">
      <c r="C20" s="8" t="s">
        <v>466</v>
      </c>
      <c r="D20" s="14" t="s">
        <v>352</v>
      </c>
      <c r="E20" s="14" t="s">
        <v>484</v>
      </c>
      <c r="F20" t="s">
        <v>104</v>
      </c>
      <c r="G20" s="32">
        <v>25000</v>
      </c>
      <c r="K20">
        <f>36-22.5</f>
        <v>13.5</v>
      </c>
    </row>
    <row r="21" spans="2:11">
      <c r="C21" s="8" t="s">
        <v>466</v>
      </c>
      <c r="D21" s="14" t="s">
        <v>352</v>
      </c>
      <c r="E21" s="14" t="s">
        <v>484</v>
      </c>
      <c r="F21" t="s">
        <v>150</v>
      </c>
      <c r="G21" s="32">
        <v>11000</v>
      </c>
    </row>
    <row r="22" spans="2:11">
      <c r="C22" s="8" t="s">
        <v>466</v>
      </c>
      <c r="D22" s="14" t="s">
        <v>352</v>
      </c>
      <c r="E22" s="14" t="s">
        <v>474</v>
      </c>
      <c r="F22" t="s">
        <v>106</v>
      </c>
      <c r="G22" s="32">
        <v>25000</v>
      </c>
      <c r="K22">
        <f>30-22.5</f>
        <v>7.5</v>
      </c>
    </row>
    <row r="23" spans="2:11">
      <c r="C23" s="8" t="s">
        <v>466</v>
      </c>
      <c r="D23" s="14" t="s">
        <v>352</v>
      </c>
      <c r="E23" s="14" t="s">
        <v>474</v>
      </c>
      <c r="F23" t="s">
        <v>150</v>
      </c>
      <c r="G23" s="32">
        <v>5000</v>
      </c>
    </row>
    <row r="24" spans="2:11">
      <c r="C24" s="8" t="s">
        <v>466</v>
      </c>
      <c r="D24" t="s">
        <v>420</v>
      </c>
      <c r="E24" s="14" t="s">
        <v>474</v>
      </c>
      <c r="F24" t="s">
        <v>151</v>
      </c>
      <c r="G24" s="32">
        <v>21000</v>
      </c>
      <c r="K24">
        <f>22.5+22.5+30</f>
        <v>75</v>
      </c>
    </row>
    <row r="25" spans="2:11">
      <c r="C25" s="8" t="s">
        <v>466</v>
      </c>
      <c r="D25" t="s">
        <v>420</v>
      </c>
      <c r="E25" s="14" t="s">
        <v>485</v>
      </c>
      <c r="F25" t="s">
        <v>151</v>
      </c>
      <c r="G25" s="32">
        <v>9000</v>
      </c>
      <c r="K25">
        <f>K24-66</f>
        <v>9</v>
      </c>
    </row>
    <row r="26" spans="2:11">
      <c r="C26" s="8" t="s">
        <v>466</v>
      </c>
      <c r="D26" t="s">
        <v>420</v>
      </c>
      <c r="E26" s="14" t="s">
        <v>474</v>
      </c>
      <c r="F26" t="s">
        <v>149</v>
      </c>
      <c r="G26" s="32">
        <v>7500</v>
      </c>
    </row>
    <row r="27" spans="2:11">
      <c r="C27" s="8" t="s">
        <v>466</v>
      </c>
      <c r="D27" t="s">
        <v>420</v>
      </c>
      <c r="E27" s="14" t="s">
        <v>474</v>
      </c>
      <c r="F27" t="s">
        <v>150</v>
      </c>
      <c r="G27" s="32">
        <v>6500</v>
      </c>
    </row>
    <row r="28" spans="2:11">
      <c r="C28" s="8" t="s">
        <v>467</v>
      </c>
      <c r="D28" t="s">
        <v>420</v>
      </c>
      <c r="E28" s="14" t="s">
        <v>474</v>
      </c>
      <c r="F28" t="s">
        <v>140</v>
      </c>
      <c r="G28" s="32">
        <v>14405</v>
      </c>
    </row>
    <row r="29" spans="2:11">
      <c r="C29" s="8" t="s">
        <v>467</v>
      </c>
      <c r="D29" t="s">
        <v>352</v>
      </c>
      <c r="E29" s="14" t="s">
        <v>480</v>
      </c>
      <c r="F29" t="s">
        <v>140</v>
      </c>
      <c r="G29" s="32">
        <v>16770</v>
      </c>
    </row>
    <row r="30" spans="2:11">
      <c r="C30" s="8" t="s">
        <v>468</v>
      </c>
      <c r="D30" t="s">
        <v>420</v>
      </c>
      <c r="E30" s="14" t="s">
        <v>474</v>
      </c>
      <c r="F30" t="s">
        <v>142</v>
      </c>
      <c r="G30" s="32">
        <v>22145</v>
      </c>
    </row>
    <row r="31" spans="2:11">
      <c r="C31" s="8" t="s">
        <v>468</v>
      </c>
      <c r="D31" t="s">
        <v>352</v>
      </c>
      <c r="E31" s="14" t="s">
        <v>480</v>
      </c>
      <c r="F31" t="s">
        <v>142</v>
      </c>
      <c r="G31" s="32">
        <v>7740</v>
      </c>
    </row>
    <row r="32" spans="2:11">
      <c r="B32" t="s">
        <v>486</v>
      </c>
      <c r="C32" t="s">
        <v>469</v>
      </c>
      <c r="D32" t="s">
        <v>352</v>
      </c>
      <c r="E32" s="14" t="s">
        <v>474</v>
      </c>
      <c r="F32" t="s">
        <v>136</v>
      </c>
      <c r="G32" s="32">
        <v>18705</v>
      </c>
    </row>
    <row r="33" spans="3:8">
      <c r="D33" t="s">
        <v>420</v>
      </c>
      <c r="E33" s="14" t="s">
        <v>485</v>
      </c>
      <c r="F33" s="21" t="s">
        <v>148</v>
      </c>
      <c r="G33" s="32">
        <v>7994</v>
      </c>
      <c r="H33" t="s">
        <v>487</v>
      </c>
    </row>
    <row r="34" spans="3:8">
      <c r="D34" t="s">
        <v>420</v>
      </c>
      <c r="E34" s="14" t="s">
        <v>485</v>
      </c>
      <c r="F34" s="21" t="s">
        <v>148</v>
      </c>
      <c r="G34" s="32">
        <v>7486</v>
      </c>
      <c r="H34" s="32" t="s">
        <v>488</v>
      </c>
    </row>
    <row r="35" spans="3:8">
      <c r="C35" s="21"/>
      <c r="D35" t="s">
        <v>420</v>
      </c>
      <c r="E35" s="14" t="s">
        <v>485</v>
      </c>
      <c r="F35" s="21" t="s">
        <v>146</v>
      </c>
      <c r="G35" s="32">
        <v>7500</v>
      </c>
    </row>
    <row r="36" spans="3:8">
      <c r="C36" s="21"/>
      <c r="D36" t="s">
        <v>420</v>
      </c>
      <c r="E36" s="14" t="s">
        <v>485</v>
      </c>
      <c r="F36" s="21" t="s">
        <v>146</v>
      </c>
      <c r="G36" s="32">
        <v>5000</v>
      </c>
    </row>
    <row r="37" spans="3:8">
      <c r="C37" s="21"/>
      <c r="F37" s="21"/>
    </row>
    <row r="38" spans="3:8">
      <c r="C38" s="8"/>
      <c r="E38" s="14"/>
    </row>
    <row r="39" spans="3:8">
      <c r="C39" s="8"/>
    </row>
    <row r="40" spans="3:8">
      <c r="C40" s="8"/>
    </row>
    <row r="41" spans="3:8">
      <c r="F41" s="21"/>
    </row>
    <row r="42" spans="3:8">
      <c r="F42" s="21"/>
    </row>
    <row r="43" spans="3:8">
      <c r="C43" s="8"/>
      <c r="F43" s="21"/>
    </row>
    <row r="44" spans="3:8">
      <c r="C44" s="8"/>
      <c r="F44" s="21"/>
    </row>
    <row r="45" spans="3:8">
      <c r="C45" s="8"/>
      <c r="E45" s="14"/>
      <c r="F45" s="21"/>
    </row>
    <row r="46" spans="3:8">
      <c r="C46" s="8"/>
    </row>
    <row r="47" spans="3:8">
      <c r="C47" s="8"/>
    </row>
    <row r="48" spans="3:8">
      <c r="C48" s="8"/>
      <c r="E48" s="14"/>
    </row>
    <row r="49" spans="3:6">
      <c r="C49" s="8"/>
      <c r="E49" s="14"/>
    </row>
    <row r="50" spans="3:6">
      <c r="C50" s="21"/>
    </row>
    <row r="51" spans="3:6">
      <c r="C51" s="21"/>
    </row>
    <row r="52" spans="3:6">
      <c r="C52" s="21"/>
    </row>
    <row r="53" spans="3:6">
      <c r="C53" s="21"/>
    </row>
    <row r="54" spans="3:6">
      <c r="C54" s="21"/>
    </row>
    <row r="55" spans="3:6">
      <c r="C55" s="21"/>
    </row>
    <row r="56" spans="3:6">
      <c r="C56" s="8"/>
    </row>
    <row r="57" spans="3:6">
      <c r="C57" s="8"/>
    </row>
    <row r="58" spans="3:6">
      <c r="C58" s="8"/>
    </row>
    <row r="59" spans="3:6">
      <c r="C59" s="8"/>
    </row>
    <row r="60" spans="3:6">
      <c r="C60" s="8"/>
    </row>
    <row r="61" spans="3:6">
      <c r="C61" s="8"/>
      <c r="F61" s="21"/>
    </row>
    <row r="62" spans="3:6">
      <c r="C62" s="8"/>
      <c r="F62" s="21"/>
    </row>
    <row r="63" spans="3:6">
      <c r="C63" s="8"/>
      <c r="E63" s="14"/>
      <c r="F63" s="21"/>
    </row>
    <row r="64" spans="3:6">
      <c r="C64" s="8"/>
    </row>
    <row r="65" spans="3:5">
      <c r="C65" s="8"/>
    </row>
    <row r="66" spans="3:5">
      <c r="C66" s="8"/>
    </row>
    <row r="67" spans="3:5">
      <c r="C67" s="12"/>
    </row>
    <row r="68" spans="3:5">
      <c r="C68" s="8"/>
    </row>
    <row r="69" spans="3:5">
      <c r="C69" s="8"/>
    </row>
    <row r="70" spans="3:5">
      <c r="C70" s="8"/>
    </row>
    <row r="71" spans="3:5">
      <c r="C71" s="8"/>
      <c r="E71" s="14"/>
    </row>
    <row r="72" spans="3:5">
      <c r="C72" s="8"/>
      <c r="E72" s="14"/>
    </row>
    <row r="73" spans="3:5">
      <c r="C73" s="30"/>
    </row>
    <row r="74" spans="3:5">
      <c r="C74" s="29"/>
    </row>
    <row r="75" spans="3:5">
      <c r="C75" s="30"/>
    </row>
    <row r="76" spans="3:5">
      <c r="C76" s="29"/>
    </row>
    <row r="77" spans="3:5">
      <c r="C77" s="8"/>
    </row>
    <row r="78" spans="3:5">
      <c r="C78" s="8"/>
    </row>
    <row r="79" spans="3:5">
      <c r="C79" s="8"/>
    </row>
    <row r="80" spans="3:5">
      <c r="C80" s="8"/>
    </row>
    <row r="81" spans="2:6">
      <c r="C81" s="8"/>
      <c r="E81" s="14"/>
    </row>
    <row r="82" spans="2:6">
      <c r="C82" s="8"/>
    </row>
    <row r="83" spans="2:6">
      <c r="C83" s="8"/>
    </row>
    <row r="84" spans="2:6">
      <c r="C84" s="8"/>
      <c r="F84" s="21"/>
    </row>
    <row r="85" spans="2:6">
      <c r="C85" s="8"/>
      <c r="F85" s="21"/>
    </row>
    <row r="86" spans="2:6">
      <c r="B86" s="8"/>
      <c r="C86" s="8"/>
      <c r="F86" s="21"/>
    </row>
    <row r="87" spans="2:6">
      <c r="C87" s="8"/>
    </row>
    <row r="88" spans="2:6">
      <c r="C88" s="8"/>
    </row>
    <row r="89" spans="2:6">
      <c r="C89" s="8"/>
    </row>
    <row r="90" spans="2:6">
      <c r="C90" s="8"/>
    </row>
    <row r="91" spans="2:6">
      <c r="B91" s="8"/>
      <c r="C91" s="8"/>
    </row>
    <row r="92" spans="2:6">
      <c r="C92" s="8"/>
      <c r="E92" s="14"/>
    </row>
    <row r="100" spans="5:9">
      <c r="I100" s="32"/>
    </row>
    <row r="103" spans="5:9">
      <c r="E103" s="14"/>
    </row>
    <row r="104" spans="5:9">
      <c r="E104" s="14"/>
    </row>
    <row r="105" spans="5:9">
      <c r="E105" s="14"/>
    </row>
    <row r="106" spans="5:9">
      <c r="E106" s="14"/>
    </row>
    <row r="107" spans="5:9">
      <c r="E107" s="14"/>
    </row>
    <row r="110" spans="5:9">
      <c r="I110" s="32"/>
    </row>
    <row r="113" spans="3:3">
      <c r="C113" s="8"/>
    </row>
    <row r="114" spans="3:3">
      <c r="C114" s="8"/>
    </row>
    <row r="115" spans="3:3">
      <c r="C115" s="8"/>
    </row>
    <row r="116" spans="3:3">
      <c r="C116" s="8"/>
    </row>
  </sheetData>
  <autoFilter ref="A1:G123" xr:uid="{D1C89E70-7C19-48FB-89A4-1742CDC1BBC2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7410C5BA-F3D3-45B9-BDDE-084D63BA2806}">
          <x14:formula1>
            <xm:f>Dati!$A$2:$A$10</xm:f>
          </x14:formula1>
          <xm:sqref>D2:D1048576</xm:sqref>
        </x14:dataValidation>
        <x14:dataValidation type="list" allowBlank="1" showInputMessage="1" showErrorMessage="1" xr:uid="{C1F2C1D0-E3E6-43B8-985E-4448F4A62D72}">
          <x14:formula1>
            <xm:f>Commesse!$E$2:$E$107</xm:f>
          </x14:formula1>
          <xm:sqref>E2:E1048576</xm:sqref>
        </x14:dataValidation>
        <x14:dataValidation type="list" allowBlank="1" showInputMessage="1" showErrorMessage="1" xr:uid="{AB86A0D7-2C57-44B6-9F6D-6E8CDB59DDB2}">
          <x14:formula1>
            <xm:f>'Activities - VIVA'!$B$2:$B$4001</xm:f>
          </x14:formula1>
          <xm:sqref>C2:C1048576</xm:sqref>
        </x14:dataValidation>
        <x14:dataValidation type="list" allowBlank="1" showInputMessage="1" showErrorMessage="1" xr:uid="{4768DDAD-AF99-4646-8B4A-E9262E33FBC6}">
          <x14:formula1>
            <xm:f>Offers!$B$2:$B$2599</xm:f>
          </x14:formula1>
          <xm:sqref>F6:F1048576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67A7A-28C4-4C71-A8F5-65E7772A1A48}">
  <sheetPr>
    <tabColor theme="6" tint="0.59999389629810485"/>
  </sheetPr>
  <dimension ref="A1:S40"/>
  <sheetViews>
    <sheetView workbookViewId="0">
      <pane ySplit="1" topLeftCell="B2" activePane="bottomLeft" state="frozen"/>
      <selection pane="bottomLeft" activeCell="L4" sqref="L4"/>
    </sheetView>
  </sheetViews>
  <sheetFormatPr defaultRowHeight="15"/>
  <cols>
    <col min="2" max="2" width="46.42578125" style="28" customWidth="1"/>
    <col min="3" max="3" width="13.42578125" bestFit="1" customWidth="1"/>
    <col min="4" max="4" width="14" customWidth="1"/>
    <col min="5" max="5" width="9.140625" customWidth="1"/>
    <col min="6" max="6" width="32.7109375" customWidth="1"/>
    <col min="7" max="7" width="13.42578125" bestFit="1" customWidth="1"/>
    <col min="8" max="8" width="17.85546875" bestFit="1" customWidth="1"/>
    <col min="9" max="9" width="11" bestFit="1" customWidth="1"/>
    <col min="10" max="10" width="11.28515625" bestFit="1" customWidth="1"/>
    <col min="11" max="12" width="12.140625" bestFit="1" customWidth="1"/>
    <col min="15" max="15" width="12.140625" bestFit="1" customWidth="1"/>
    <col min="16" max="16" width="17.42578125" bestFit="1" customWidth="1"/>
  </cols>
  <sheetData>
    <row r="1" spans="1:19" s="7" customFormat="1">
      <c r="A1" s="1" t="s">
        <v>0</v>
      </c>
      <c r="B1" s="27" t="s">
        <v>154</v>
      </c>
      <c r="C1" s="3" t="s">
        <v>157</v>
      </c>
      <c r="D1" s="3" t="s">
        <v>158</v>
      </c>
      <c r="E1" s="3" t="s">
        <v>159</v>
      </c>
      <c r="F1" s="3" t="s">
        <v>4</v>
      </c>
      <c r="G1" s="4" t="s">
        <v>160</v>
      </c>
      <c r="H1" s="4" t="s">
        <v>161</v>
      </c>
      <c r="I1" s="5" t="s">
        <v>162</v>
      </c>
      <c r="J1" s="4" t="s">
        <v>163</v>
      </c>
      <c r="K1" s="4" t="s">
        <v>164</v>
      </c>
      <c r="L1" s="4" t="s">
        <v>165</v>
      </c>
      <c r="M1" s="4" t="s">
        <v>166</v>
      </c>
      <c r="N1" s="4" t="s">
        <v>456</v>
      </c>
      <c r="O1" s="4" t="s">
        <v>168</v>
      </c>
      <c r="P1" s="6" t="s">
        <v>169</v>
      </c>
      <c r="Q1" s="7" t="s">
        <v>170</v>
      </c>
    </row>
    <row r="2" spans="1:19">
      <c r="A2" s="8"/>
      <c r="B2" s="12" t="s">
        <v>489</v>
      </c>
      <c r="C2" s="14" t="s">
        <v>172</v>
      </c>
      <c r="D2" s="14"/>
      <c r="E2" s="14" t="s">
        <v>230</v>
      </c>
      <c r="F2" s="14" t="s">
        <v>243</v>
      </c>
      <c r="G2" s="9">
        <v>12900</v>
      </c>
      <c r="H2" s="9"/>
      <c r="I2" s="10"/>
      <c r="J2" s="9">
        <v>6665</v>
      </c>
      <c r="K2" s="9"/>
      <c r="L2" s="9"/>
      <c r="M2" s="9"/>
      <c r="N2" s="9"/>
      <c r="O2" s="9">
        <v>6235</v>
      </c>
      <c r="P2" s="15" t="s">
        <v>490</v>
      </c>
      <c r="Q2" s="8"/>
      <c r="R2" s="8"/>
      <c r="S2" s="8"/>
    </row>
    <row r="3" spans="1:19">
      <c r="B3" s="12" t="s">
        <v>491</v>
      </c>
      <c r="C3" s="14" t="s">
        <v>172</v>
      </c>
      <c r="D3" s="14"/>
      <c r="E3" s="14" t="s">
        <v>230</v>
      </c>
      <c r="F3" s="14" t="s">
        <v>216</v>
      </c>
      <c r="G3" s="9">
        <v>5912.5</v>
      </c>
      <c r="H3" s="9"/>
      <c r="I3" s="10"/>
      <c r="J3" s="9">
        <v>3117.5</v>
      </c>
      <c r="K3" s="9"/>
      <c r="L3" s="9">
        <v>2365</v>
      </c>
      <c r="M3" s="9"/>
      <c r="N3" s="9"/>
      <c r="O3" s="9"/>
      <c r="P3" s="15" t="s">
        <v>492</v>
      </c>
      <c r="Q3" s="8"/>
      <c r="R3" s="8"/>
      <c r="S3" s="8"/>
    </row>
    <row r="4" spans="1:19">
      <c r="B4" s="12" t="s">
        <v>493</v>
      </c>
      <c r="C4" s="14" t="s">
        <v>172</v>
      </c>
      <c r="D4" s="14"/>
      <c r="E4" s="14" t="s">
        <v>230</v>
      </c>
      <c r="F4" s="14" t="s">
        <v>216</v>
      </c>
      <c r="G4" s="9">
        <f>SUM(H4:O4)</f>
        <v>4300</v>
      </c>
      <c r="H4" s="9"/>
      <c r="I4" s="10"/>
      <c r="O4" s="32">
        <v>4300</v>
      </c>
    </row>
    <row r="5" spans="1:19">
      <c r="B5" s="12"/>
      <c r="C5" s="14"/>
      <c r="D5" s="14"/>
      <c r="E5" s="14"/>
      <c r="F5" s="14"/>
      <c r="G5" s="9"/>
      <c r="H5" s="9"/>
      <c r="I5" s="10"/>
    </row>
    <row r="6" spans="1:19">
      <c r="B6" s="12"/>
      <c r="C6" s="14"/>
      <c r="D6" s="14"/>
      <c r="E6" s="14"/>
      <c r="F6" s="14"/>
      <c r="G6" s="9"/>
      <c r="H6" s="9"/>
      <c r="I6" s="10"/>
    </row>
    <row r="7" spans="1:19">
      <c r="B7" s="12"/>
      <c r="C7" s="14"/>
      <c r="D7" s="14"/>
      <c r="E7" s="14"/>
      <c r="F7" s="14"/>
      <c r="G7" s="9"/>
      <c r="H7" s="9"/>
      <c r="I7" s="10"/>
    </row>
    <row r="8" spans="1:19">
      <c r="B8" s="12"/>
      <c r="C8" s="14"/>
      <c r="D8" s="14"/>
      <c r="E8" s="14"/>
      <c r="F8" s="14"/>
      <c r="G8" s="9"/>
      <c r="H8" s="9"/>
      <c r="I8" s="10"/>
    </row>
    <row r="9" spans="1:19">
      <c r="B9" s="12"/>
      <c r="C9" s="8"/>
      <c r="D9" s="14"/>
      <c r="E9" s="8"/>
      <c r="F9" s="12"/>
      <c r="G9" s="9"/>
      <c r="H9" s="9"/>
      <c r="I9" s="10"/>
    </row>
    <row r="10" spans="1:19">
      <c r="B10" s="12"/>
      <c r="C10" s="14"/>
      <c r="D10" s="14"/>
      <c r="E10" s="14"/>
      <c r="F10" s="22"/>
      <c r="G10" s="9"/>
      <c r="H10" s="9"/>
      <c r="I10" s="10"/>
    </row>
    <row r="11" spans="1:19">
      <c r="B11" s="12"/>
      <c r="C11" s="14"/>
      <c r="D11" s="14"/>
      <c r="E11" s="14"/>
      <c r="F11" s="14"/>
      <c r="G11" s="9"/>
      <c r="H11" s="9"/>
      <c r="I11" s="10"/>
    </row>
    <row r="12" spans="1:19">
      <c r="B12" s="12"/>
      <c r="C12" s="14"/>
      <c r="D12" s="14"/>
      <c r="E12" s="14"/>
      <c r="F12" s="22"/>
      <c r="G12" s="9"/>
      <c r="H12" s="9"/>
      <c r="I12" s="10"/>
    </row>
    <row r="13" spans="1:19">
      <c r="B13" s="12"/>
      <c r="C13" s="14"/>
      <c r="D13" s="14"/>
      <c r="E13" s="14"/>
      <c r="F13" s="22"/>
      <c r="G13" s="9"/>
      <c r="H13" s="9"/>
      <c r="I13" s="10"/>
    </row>
    <row r="14" spans="1:19">
      <c r="B14" s="12"/>
      <c r="C14" s="14"/>
      <c r="D14" s="14"/>
      <c r="E14" s="14"/>
      <c r="F14" s="22"/>
      <c r="G14" s="9"/>
      <c r="H14" s="9"/>
      <c r="I14" s="10"/>
    </row>
    <row r="15" spans="1:19">
      <c r="B15" s="12"/>
      <c r="C15" s="14"/>
      <c r="D15" s="14"/>
      <c r="E15" s="14"/>
      <c r="F15" s="22"/>
      <c r="G15" s="9"/>
      <c r="H15" s="9"/>
      <c r="I15" s="10"/>
    </row>
    <row r="16" spans="1:19">
      <c r="B16" s="12"/>
      <c r="C16" s="14"/>
      <c r="D16" s="14"/>
      <c r="E16" s="14"/>
      <c r="F16" s="22"/>
      <c r="G16" s="9"/>
      <c r="H16" s="9"/>
      <c r="I16" s="10"/>
    </row>
    <row r="17" spans="2:9">
      <c r="B17" s="12"/>
      <c r="C17" s="14"/>
      <c r="D17" s="14"/>
      <c r="E17" s="14"/>
      <c r="F17" s="14"/>
      <c r="G17" s="9"/>
      <c r="H17" s="9"/>
      <c r="I17" s="10"/>
    </row>
    <row r="18" spans="2:9">
      <c r="B18" s="12"/>
      <c r="C18" s="14"/>
      <c r="D18" s="14"/>
      <c r="E18" s="14"/>
      <c r="F18" s="22"/>
      <c r="G18" s="9"/>
      <c r="H18" s="9"/>
      <c r="I18" s="10"/>
    </row>
    <row r="19" spans="2:9">
      <c r="B19" s="12"/>
      <c r="C19" s="14"/>
      <c r="D19" s="14"/>
      <c r="E19" s="14"/>
      <c r="F19" s="22"/>
      <c r="G19" s="9"/>
      <c r="H19" s="9"/>
      <c r="I19" s="10"/>
    </row>
    <row r="20" spans="2:9">
      <c r="B20" s="12"/>
      <c r="C20" s="14"/>
      <c r="D20" s="14"/>
      <c r="E20" s="14"/>
      <c r="F20" s="22"/>
      <c r="G20" s="9"/>
      <c r="H20" s="9"/>
      <c r="I20" s="10"/>
    </row>
    <row r="21" spans="2:9">
      <c r="B21" s="12"/>
      <c r="C21" s="14"/>
      <c r="D21" s="14"/>
      <c r="E21" s="14"/>
      <c r="F21" s="14"/>
      <c r="G21" s="9"/>
      <c r="H21" s="9"/>
      <c r="I21" s="10"/>
    </row>
    <row r="22" spans="2:9">
      <c r="B22" s="12"/>
      <c r="C22" s="14"/>
      <c r="D22" s="14"/>
      <c r="E22" s="14"/>
      <c r="F22" s="14"/>
      <c r="G22" s="9"/>
      <c r="H22" s="9"/>
      <c r="I22" s="10"/>
    </row>
    <row r="23" spans="2:9">
      <c r="B23" s="12"/>
      <c r="C23" s="14"/>
      <c r="D23" s="14"/>
      <c r="E23" s="14"/>
      <c r="F23" s="14"/>
      <c r="G23" s="9"/>
      <c r="H23" s="9"/>
      <c r="I23" s="10"/>
    </row>
    <row r="24" spans="2:9">
      <c r="B24" s="12"/>
      <c r="C24" s="8"/>
      <c r="D24" s="14"/>
      <c r="E24" s="8"/>
      <c r="F24" s="14"/>
      <c r="G24" s="9"/>
      <c r="H24" s="9"/>
      <c r="I24" s="10"/>
    </row>
    <row r="25" spans="2:9">
      <c r="B25" s="12"/>
      <c r="C25" s="14"/>
      <c r="D25" s="14"/>
      <c r="E25" s="14"/>
      <c r="F25" s="14"/>
      <c r="G25" s="9"/>
      <c r="H25" s="9"/>
      <c r="I25" s="10"/>
    </row>
    <row r="26" spans="2:9">
      <c r="B26" s="12"/>
      <c r="C26" s="14"/>
      <c r="D26" s="14"/>
      <c r="E26" s="14"/>
      <c r="F26" s="14"/>
      <c r="G26" s="9"/>
      <c r="H26" s="9"/>
      <c r="I26" s="10"/>
    </row>
    <row r="27" spans="2:9">
      <c r="B27" s="26"/>
      <c r="C27" s="14"/>
      <c r="D27" s="14"/>
      <c r="E27" s="14"/>
      <c r="F27" s="14"/>
      <c r="G27" s="9"/>
      <c r="H27" s="9"/>
      <c r="I27" s="10"/>
    </row>
    <row r="28" spans="2:9">
      <c r="B28" s="29"/>
      <c r="C28" s="14"/>
      <c r="D28" s="14"/>
      <c r="E28" s="14"/>
      <c r="F28" s="14"/>
      <c r="G28" s="9"/>
      <c r="H28" s="9"/>
      <c r="I28" s="10"/>
    </row>
    <row r="29" spans="2:9">
      <c r="B29" s="8"/>
      <c r="C29" s="14"/>
      <c r="D29" s="14"/>
      <c r="E29" s="22"/>
      <c r="F29" s="14"/>
      <c r="G29" s="9"/>
      <c r="H29" s="9"/>
      <c r="I29" s="10"/>
    </row>
    <row r="30" spans="2:9">
      <c r="B30" s="8"/>
      <c r="C30" s="14"/>
      <c r="D30" s="14"/>
      <c r="E30" s="14"/>
      <c r="F30" s="14"/>
      <c r="G30" s="9"/>
      <c r="H30" s="9"/>
      <c r="I30" s="10"/>
    </row>
    <row r="31" spans="2:9">
      <c r="B31" s="8"/>
      <c r="C31" s="14"/>
      <c r="D31" s="14"/>
      <c r="E31" s="14"/>
      <c r="F31" s="14"/>
      <c r="G31" s="9"/>
      <c r="H31" s="9"/>
      <c r="I31" s="10"/>
    </row>
    <row r="32" spans="2:9">
      <c r="B32" s="8"/>
      <c r="C32" s="14"/>
      <c r="D32" s="14"/>
      <c r="E32" s="14"/>
      <c r="F32" s="14"/>
      <c r="G32" s="9"/>
      <c r="H32" s="9"/>
      <c r="I32" s="10"/>
    </row>
    <row r="33" spans="2:9">
      <c r="G33" s="9"/>
    </row>
    <row r="34" spans="2:9">
      <c r="B34" s="8"/>
      <c r="C34" s="14"/>
      <c r="D34" s="14"/>
      <c r="E34" s="14"/>
      <c r="F34" s="14"/>
      <c r="G34" s="9"/>
      <c r="H34" s="9"/>
      <c r="I34" s="10"/>
    </row>
    <row r="35" spans="2:9">
      <c r="B35" s="8"/>
      <c r="C35" s="14"/>
      <c r="D35" s="14"/>
      <c r="E35" s="14"/>
      <c r="F35" s="14"/>
      <c r="G35" s="9"/>
      <c r="H35" s="9"/>
      <c r="I35" s="10"/>
    </row>
    <row r="36" spans="2:9">
      <c r="B36" s="8"/>
      <c r="C36" s="14"/>
      <c r="D36" s="14"/>
      <c r="E36" s="14"/>
      <c r="F36" s="14"/>
      <c r="G36" s="9"/>
      <c r="H36" s="9"/>
      <c r="I36" s="10"/>
    </row>
    <row r="37" spans="2:9">
      <c r="B37" s="8"/>
      <c r="C37" s="14"/>
      <c r="D37" s="14"/>
      <c r="E37" s="14"/>
      <c r="F37" s="14"/>
      <c r="G37" s="9"/>
      <c r="H37" s="9"/>
      <c r="I37" s="10"/>
    </row>
    <row r="38" spans="2:9">
      <c r="B38" s="8"/>
      <c r="C38" s="14"/>
      <c r="D38" s="14"/>
      <c r="E38" s="14"/>
      <c r="F38" s="14"/>
      <c r="G38" s="9"/>
      <c r="H38" s="9"/>
      <c r="I38" s="10"/>
    </row>
    <row r="39" spans="2:9">
      <c r="B39" s="8"/>
      <c r="C39" s="14"/>
      <c r="D39" s="14"/>
      <c r="E39" s="14"/>
      <c r="F39" s="14"/>
      <c r="G39" s="9"/>
      <c r="H39" s="9"/>
      <c r="I39" s="10"/>
    </row>
    <row r="40" spans="2:9">
      <c r="B40" s="8"/>
      <c r="C40" s="14"/>
      <c r="D40" s="14"/>
      <c r="E40" s="14"/>
      <c r="F40" s="14"/>
      <c r="G40" s="9"/>
      <c r="H40" s="9"/>
      <c r="I40" s="10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4728D-997D-4F1E-8185-75C78716A790}">
  <sheetPr>
    <tabColor theme="6" tint="0.59999389629810485"/>
  </sheetPr>
  <dimension ref="A1:I109"/>
  <sheetViews>
    <sheetView workbookViewId="0">
      <pane ySplit="1" topLeftCell="A2" activePane="bottomLeft" state="frozen"/>
      <selection pane="bottomLeft" activeCell="H5" sqref="H5"/>
    </sheetView>
  </sheetViews>
  <sheetFormatPr defaultRowHeight="15"/>
  <cols>
    <col min="2" max="2" width="22.28515625" customWidth="1"/>
    <col min="3" max="3" width="27.85546875" customWidth="1"/>
    <col min="4" max="4" width="10.28515625" bestFit="1" customWidth="1"/>
    <col min="5" max="5" width="44.140625" bestFit="1" customWidth="1"/>
    <col min="6" max="6" width="61.85546875" bestFit="1" customWidth="1"/>
    <col min="7" max="7" width="16.42578125" style="32" customWidth="1"/>
    <col min="13" max="13" width="14.42578125" bestFit="1" customWidth="1"/>
    <col min="14" max="14" width="12" bestFit="1" customWidth="1"/>
    <col min="15" max="15" width="12.140625" bestFit="1" customWidth="1"/>
    <col min="16" max="16" width="20.28515625" bestFit="1" customWidth="1"/>
    <col min="17" max="17" width="12.140625" bestFit="1" customWidth="1"/>
  </cols>
  <sheetData>
    <row r="1" spans="1:9" s="7" customFormat="1">
      <c r="A1" s="1" t="s">
        <v>0</v>
      </c>
      <c r="B1" s="1" t="s">
        <v>1</v>
      </c>
      <c r="C1" s="1" t="s">
        <v>347</v>
      </c>
      <c r="D1" s="3" t="s">
        <v>4</v>
      </c>
      <c r="E1" s="3" t="s">
        <v>348</v>
      </c>
      <c r="F1" s="3" t="s">
        <v>349</v>
      </c>
      <c r="G1" s="4" t="s">
        <v>160</v>
      </c>
    </row>
    <row r="2" spans="1:9">
      <c r="A2" s="8"/>
      <c r="B2" s="8" t="s">
        <v>494</v>
      </c>
      <c r="C2" s="8" t="s">
        <v>489</v>
      </c>
      <c r="D2" s="14" t="s">
        <v>352</v>
      </c>
      <c r="E2" s="14" t="s">
        <v>495</v>
      </c>
      <c r="F2" t="s">
        <v>86</v>
      </c>
      <c r="G2" s="32">
        <v>6665</v>
      </c>
      <c r="H2" s="8"/>
      <c r="I2" s="8"/>
    </row>
    <row r="3" spans="1:9">
      <c r="B3" t="s">
        <v>494</v>
      </c>
      <c r="C3" s="8" t="s">
        <v>489</v>
      </c>
      <c r="D3" s="14" t="s">
        <v>352</v>
      </c>
      <c r="E3" s="14" t="s">
        <v>496</v>
      </c>
      <c r="F3" t="s">
        <v>86</v>
      </c>
      <c r="G3" s="32">
        <v>5336</v>
      </c>
      <c r="H3" s="8"/>
      <c r="I3" s="8"/>
    </row>
    <row r="4" spans="1:9">
      <c r="B4" t="s">
        <v>494</v>
      </c>
      <c r="C4" s="8" t="s">
        <v>489</v>
      </c>
      <c r="D4" s="14" t="s">
        <v>420</v>
      </c>
      <c r="E4" s="14" t="s">
        <v>496</v>
      </c>
      <c r="F4" t="s">
        <v>86</v>
      </c>
      <c r="G4" s="32">
        <v>899</v>
      </c>
      <c r="H4" s="8"/>
      <c r="I4" s="8"/>
    </row>
    <row r="5" spans="1:9">
      <c r="B5" t="s">
        <v>497</v>
      </c>
      <c r="C5" s="8" t="s">
        <v>491</v>
      </c>
      <c r="D5" s="14" t="s">
        <v>352</v>
      </c>
      <c r="E5" s="14" t="s">
        <v>495</v>
      </c>
      <c r="F5" t="s">
        <v>134</v>
      </c>
      <c r="G5" s="32">
        <v>3117.5</v>
      </c>
      <c r="H5" s="8"/>
      <c r="I5" s="8"/>
    </row>
    <row r="6" spans="1:9">
      <c r="B6" t="s">
        <v>497</v>
      </c>
      <c r="C6" s="8" t="s">
        <v>491</v>
      </c>
      <c r="D6" s="14" t="s">
        <v>352</v>
      </c>
      <c r="E6" s="14" t="s">
        <v>498</v>
      </c>
      <c r="F6" t="s">
        <v>134</v>
      </c>
      <c r="G6" s="32">
        <v>2365</v>
      </c>
      <c r="H6" s="8"/>
      <c r="I6" s="8"/>
    </row>
    <row r="7" spans="1:9">
      <c r="C7" t="s">
        <v>493</v>
      </c>
      <c r="D7" t="s">
        <v>352</v>
      </c>
      <c r="E7" s="14" t="s">
        <v>496</v>
      </c>
      <c r="F7" t="s">
        <v>116</v>
      </c>
      <c r="G7" s="32">
        <v>3680</v>
      </c>
    </row>
    <row r="8" spans="1:9">
      <c r="C8" t="s">
        <v>493</v>
      </c>
      <c r="D8" t="s">
        <v>420</v>
      </c>
      <c r="E8" s="14" t="s">
        <v>495</v>
      </c>
      <c r="F8" t="s">
        <v>116</v>
      </c>
      <c r="G8" s="32">
        <v>620</v>
      </c>
    </row>
    <row r="9" spans="1:9">
      <c r="C9" s="8"/>
    </row>
    <row r="10" spans="1:9">
      <c r="C10" s="8"/>
    </row>
    <row r="11" spans="1:9">
      <c r="C11" s="8"/>
    </row>
    <row r="12" spans="1:9">
      <c r="C12" s="8"/>
      <c r="E12" s="14"/>
    </row>
    <row r="13" spans="1:9">
      <c r="C13" s="8"/>
      <c r="E13" s="14"/>
    </row>
    <row r="14" spans="1:9">
      <c r="C14" s="8"/>
    </row>
    <row r="15" spans="1:9">
      <c r="C15" s="8"/>
    </row>
    <row r="16" spans="1:9">
      <c r="C16" s="8"/>
      <c r="E16" s="14"/>
    </row>
    <row r="17" spans="3:6">
      <c r="C17" s="8"/>
      <c r="E17" s="14"/>
    </row>
    <row r="18" spans="3:6">
      <c r="C18" s="8"/>
    </row>
    <row r="19" spans="3:6">
      <c r="C19" s="8"/>
      <c r="E19" s="14"/>
    </row>
    <row r="20" spans="3:6">
      <c r="C20" s="8"/>
    </row>
    <row r="21" spans="3:6">
      <c r="C21" s="8"/>
    </row>
    <row r="22" spans="3:6">
      <c r="C22" s="8"/>
    </row>
    <row r="23" spans="3:6">
      <c r="C23" s="8"/>
      <c r="E23" s="14"/>
    </row>
    <row r="25" spans="3:6">
      <c r="C25" s="8"/>
    </row>
    <row r="26" spans="3:6">
      <c r="F26" s="21"/>
    </row>
    <row r="27" spans="3:6">
      <c r="E27" s="14"/>
      <c r="F27" s="21"/>
    </row>
    <row r="28" spans="3:6">
      <c r="C28" s="21"/>
      <c r="F28" s="21"/>
    </row>
    <row r="29" spans="3:6">
      <c r="C29" s="21"/>
      <c r="F29" s="21"/>
    </row>
    <row r="30" spans="3:6">
      <c r="C30" s="21"/>
      <c r="F30" s="21"/>
    </row>
    <row r="31" spans="3:6">
      <c r="C31" s="8"/>
      <c r="E31" s="14"/>
    </row>
    <row r="32" spans="3:6">
      <c r="C32" s="8"/>
    </row>
    <row r="33" spans="3:6">
      <c r="C33" s="8"/>
    </row>
    <row r="34" spans="3:6">
      <c r="F34" s="21"/>
    </row>
    <row r="35" spans="3:6">
      <c r="F35" s="21"/>
    </row>
    <row r="36" spans="3:6">
      <c r="C36" s="8"/>
      <c r="F36" s="21"/>
    </row>
    <row r="37" spans="3:6">
      <c r="C37" s="8"/>
      <c r="F37" s="21"/>
    </row>
    <row r="38" spans="3:6">
      <c r="C38" s="8"/>
      <c r="E38" s="14"/>
      <c r="F38" s="21"/>
    </row>
    <row r="39" spans="3:6">
      <c r="C39" s="8"/>
    </row>
    <row r="40" spans="3:6">
      <c r="C40" s="8"/>
    </row>
    <row r="41" spans="3:6">
      <c r="C41" s="8"/>
      <c r="E41" s="14"/>
    </row>
    <row r="42" spans="3:6">
      <c r="C42" s="8"/>
      <c r="E42" s="14"/>
    </row>
    <row r="43" spans="3:6">
      <c r="C43" s="21"/>
    </row>
    <row r="44" spans="3:6">
      <c r="C44" s="21"/>
    </row>
    <row r="45" spans="3:6">
      <c r="C45" s="21"/>
    </row>
    <row r="46" spans="3:6">
      <c r="C46" s="21"/>
    </row>
    <row r="47" spans="3:6">
      <c r="C47" s="21"/>
    </row>
    <row r="48" spans="3:6">
      <c r="C48" s="21"/>
    </row>
    <row r="49" spans="3:6">
      <c r="C49" s="8"/>
    </row>
    <row r="50" spans="3:6">
      <c r="C50" s="8"/>
    </row>
    <row r="51" spans="3:6">
      <c r="C51" s="8"/>
    </row>
    <row r="52" spans="3:6">
      <c r="C52" s="8"/>
    </row>
    <row r="53" spans="3:6">
      <c r="C53" s="8"/>
    </row>
    <row r="54" spans="3:6">
      <c r="C54" s="8"/>
      <c r="F54" s="21"/>
    </row>
    <row r="55" spans="3:6">
      <c r="C55" s="8"/>
      <c r="F55" s="21"/>
    </row>
    <row r="56" spans="3:6">
      <c r="C56" s="8"/>
      <c r="E56" s="14"/>
      <c r="F56" s="21"/>
    </row>
    <row r="57" spans="3:6">
      <c r="C57" s="8"/>
    </row>
    <row r="58" spans="3:6">
      <c r="C58" s="8"/>
    </row>
    <row r="59" spans="3:6">
      <c r="C59" s="8"/>
    </row>
    <row r="60" spans="3:6">
      <c r="C60" s="12"/>
    </row>
    <row r="61" spans="3:6">
      <c r="C61" s="8"/>
    </row>
    <row r="62" spans="3:6">
      <c r="C62" s="8"/>
    </row>
    <row r="63" spans="3:6">
      <c r="C63" s="8"/>
    </row>
    <row r="64" spans="3:6">
      <c r="C64" s="8"/>
      <c r="E64" s="14"/>
    </row>
    <row r="65" spans="2:6">
      <c r="C65" s="8"/>
      <c r="E65" s="14"/>
    </row>
    <row r="66" spans="2:6">
      <c r="C66" s="30"/>
    </row>
    <row r="67" spans="2:6">
      <c r="C67" s="29"/>
    </row>
    <row r="68" spans="2:6">
      <c r="C68" s="30"/>
    </row>
    <row r="69" spans="2:6">
      <c r="C69" s="29"/>
    </row>
    <row r="70" spans="2:6">
      <c r="C70" s="8"/>
    </row>
    <row r="71" spans="2:6">
      <c r="C71" s="8"/>
    </row>
    <row r="72" spans="2:6">
      <c r="C72" s="8"/>
    </row>
    <row r="73" spans="2:6">
      <c r="C73" s="8"/>
    </row>
    <row r="74" spans="2:6">
      <c r="C74" s="8"/>
      <c r="E74" s="14"/>
    </row>
    <row r="75" spans="2:6">
      <c r="C75" s="8"/>
    </row>
    <row r="76" spans="2:6">
      <c r="C76" s="8"/>
    </row>
    <row r="77" spans="2:6">
      <c r="C77" s="8"/>
      <c r="F77" s="21"/>
    </row>
    <row r="78" spans="2:6">
      <c r="C78" s="8"/>
      <c r="F78" s="21"/>
    </row>
    <row r="79" spans="2:6">
      <c r="B79" s="8"/>
      <c r="C79" s="8"/>
      <c r="F79" s="21"/>
    </row>
    <row r="80" spans="2:6">
      <c r="C80" s="8"/>
    </row>
    <row r="81" spans="2:9">
      <c r="C81" s="8"/>
    </row>
    <row r="82" spans="2:9">
      <c r="C82" s="8"/>
    </row>
    <row r="83" spans="2:9">
      <c r="C83" s="8"/>
    </row>
    <row r="84" spans="2:9">
      <c r="B84" s="8"/>
      <c r="C84" s="8"/>
    </row>
    <row r="85" spans="2:9">
      <c r="C85" s="8"/>
      <c r="E85" s="14"/>
    </row>
    <row r="93" spans="2:9">
      <c r="I93" s="32"/>
    </row>
    <row r="96" spans="2:9">
      <c r="E96" s="14"/>
    </row>
    <row r="97" spans="3:9">
      <c r="E97" s="14"/>
    </row>
    <row r="98" spans="3:9">
      <c r="E98" s="14"/>
    </row>
    <row r="99" spans="3:9">
      <c r="E99" s="14"/>
    </row>
    <row r="100" spans="3:9">
      <c r="E100" s="14"/>
    </row>
    <row r="103" spans="3:9">
      <c r="I103" s="32"/>
    </row>
    <row r="106" spans="3:9">
      <c r="C106" s="8"/>
    </row>
    <row r="107" spans="3:9">
      <c r="C107" s="8"/>
    </row>
    <row r="108" spans="3:9">
      <c r="C108" s="8"/>
    </row>
    <row r="109" spans="3:9">
      <c r="C109" s="8"/>
    </row>
  </sheetData>
  <autoFilter ref="A1:G116" xr:uid="{D1C89E70-7C19-48FB-89A4-1742CDC1BBC2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8957AC4C-7CFB-4F78-B8E7-9DF5C877898D}">
          <x14:formula1>
            <xm:f>Commesse!$E$2:$E$107</xm:f>
          </x14:formula1>
          <xm:sqref>E2:E1048576</xm:sqref>
        </x14:dataValidation>
        <x14:dataValidation type="list" allowBlank="1" showInputMessage="1" showErrorMessage="1" xr:uid="{8205F3A9-70F7-45EA-86BE-E1ED4D589668}">
          <x14:formula1>
            <xm:f>Dati!$A$2:$A$10</xm:f>
          </x14:formula1>
          <xm:sqref>D2:D1048576</xm:sqref>
        </x14:dataValidation>
        <x14:dataValidation type="list" allowBlank="1" showInputMessage="1" showErrorMessage="1" xr:uid="{8ABAD81E-965C-4EB9-9A56-38505861D9D0}">
          <x14:formula1>
            <xm:f>'Activities - Intranet'!$B$2:$B$4000</xm:f>
          </x14:formula1>
          <xm:sqref>C2:C1048576</xm:sqref>
        </x14:dataValidation>
        <x14:dataValidation type="list" allowBlank="1" showInputMessage="1" showErrorMessage="1" xr:uid="{19044C43-051F-4FC6-8F74-57A2BB83BF43}">
          <x14:formula1>
            <xm:f>Offers!$B$2:$B$2599</xm:f>
          </x14:formula1>
          <xm:sqref>F2:F1048576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A6F50-3B2E-420A-B485-EAED03151ACF}">
  <dimension ref="A1:L35"/>
  <sheetViews>
    <sheetView workbookViewId="0">
      <pane ySplit="1" topLeftCell="A18" activePane="bottomLeft" state="frozen"/>
      <selection pane="bottomLeft" activeCell="G40" sqref="G40"/>
    </sheetView>
  </sheetViews>
  <sheetFormatPr defaultRowHeight="15"/>
  <cols>
    <col min="3" max="3" width="29.42578125" bestFit="1" customWidth="1"/>
    <col min="4" max="4" width="21.5703125" bestFit="1" customWidth="1"/>
    <col min="5" max="5" width="51.7109375" bestFit="1" customWidth="1"/>
    <col min="6" max="6" width="11.28515625" bestFit="1" customWidth="1"/>
    <col min="7" max="7" width="12.7109375" customWidth="1"/>
    <col min="8" max="8" width="14.85546875" style="32" customWidth="1"/>
    <col min="9" max="9" width="11.5703125" bestFit="1" customWidth="1"/>
    <col min="10" max="10" width="11.5703125" customWidth="1"/>
  </cols>
  <sheetData>
    <row r="1" spans="1:12">
      <c r="A1" s="33" t="s">
        <v>0</v>
      </c>
      <c r="B1" s="33" t="s">
        <v>3</v>
      </c>
      <c r="C1" s="33" t="s">
        <v>1</v>
      </c>
      <c r="D1" s="33" t="s">
        <v>499</v>
      </c>
      <c r="E1" s="33" t="s">
        <v>500</v>
      </c>
      <c r="F1" s="33" t="s">
        <v>2</v>
      </c>
      <c r="G1" s="33" t="s">
        <v>501</v>
      </c>
      <c r="H1" s="33" t="s">
        <v>502</v>
      </c>
      <c r="I1" s="33" t="s">
        <v>503</v>
      </c>
      <c r="J1" s="33" t="s">
        <v>4</v>
      </c>
      <c r="K1" s="36" t="s">
        <v>351</v>
      </c>
      <c r="L1" s="35"/>
    </row>
    <row r="2" spans="1:12">
      <c r="D2" t="s">
        <v>504</v>
      </c>
      <c r="E2" t="str">
        <f t="shared" ref="E2:E5" si="0">_xlfn.CONCAT(D2," - ",C2)</f>
        <v xml:space="preserve">XXX-XXX-XTECH - </v>
      </c>
      <c r="G2" t="s">
        <v>505</v>
      </c>
      <c r="H2" s="32" cm="1">
        <f t="array" ref="H2">SUMPRODUCT(('Budget Lines - Leonardo'!$E$2:$E$1526=Tabella2[[#This Row],[Nome-Codice]])*('Budget Lines - Leonardo'!$G$2:$G$1526))</f>
        <v>66550</v>
      </c>
    </row>
    <row r="3" spans="1:12">
      <c r="D3" t="s">
        <v>506</v>
      </c>
      <c r="E3" t="str">
        <f t="shared" si="0"/>
        <v xml:space="preserve">XXX-XXX-WDWP - </v>
      </c>
      <c r="G3" t="s">
        <v>507</v>
      </c>
      <c r="H3" s="32" cm="1">
        <f t="array" ref="H3">SUMPRODUCT(('Budget Lines - Leonardo'!$E$2:$E$1526=Tabella2[[#This Row],[Nome-Codice]])*('Budget Lines - Leonardo'!$G$2:$G$1526))</f>
        <v>253550</v>
      </c>
    </row>
    <row r="4" spans="1:12">
      <c r="D4" t="s">
        <v>508</v>
      </c>
      <c r="E4" t="str">
        <f t="shared" si="0"/>
        <v xml:space="preserve">XXX-XXX-TT - </v>
      </c>
      <c r="G4" t="s">
        <v>509</v>
      </c>
      <c r="H4" s="32" cm="1">
        <f t="array" ref="H4">SUMPRODUCT(('Budget Lines - Leonardo'!$E$2:$E$1526=Tabella2[[#This Row],[Nome-Codice]])*('Budget Lines - Leonardo'!$G$2:$G$1526))</f>
        <v>0</v>
      </c>
    </row>
    <row r="5" spans="1:12">
      <c r="D5" t="s">
        <v>510</v>
      </c>
      <c r="E5" t="str">
        <f t="shared" si="0"/>
        <v xml:space="preserve">XXX-DPM-ITO - </v>
      </c>
      <c r="G5" t="s">
        <v>511</v>
      </c>
      <c r="H5" s="32" cm="1">
        <f t="array" ref="H5">SUMPRODUCT(('Budget Lines - Leonardo'!$E$2:$E$1526=Tabella2[[#This Row],[Nome-Codice]])*('Budget Lines - Leonardo'!$G$2:$G$1526))</f>
        <v>5000</v>
      </c>
    </row>
    <row r="6" spans="1:12">
      <c r="D6" t="s">
        <v>512</v>
      </c>
      <c r="E6" t="str">
        <f t="shared" ref="E6" si="1">_xlfn.CONCAT(D6," - ",C6)</f>
        <v xml:space="preserve">XXX-MCI-ITO - </v>
      </c>
      <c r="G6" t="s">
        <v>513</v>
      </c>
      <c r="H6" s="32" cm="1">
        <f t="array" ref="H6">SUMPRODUCT(('Budget Lines - Leonardo'!$E$2:$E$1526=Tabella2[[#This Row],[Nome-Codice]])*('Budget Lines - Leonardo'!$G$2:$G$1526))</f>
        <v>61245</v>
      </c>
    </row>
    <row r="7" spans="1:12">
      <c r="D7" t="s">
        <v>514</v>
      </c>
      <c r="E7" t="str">
        <f>_xlfn.CONCAT(D7," - ",C7)</f>
        <v xml:space="preserve">XXX-DBA - </v>
      </c>
      <c r="H7" s="32" cm="1">
        <f t="array" ref="H7">SUMPRODUCT(('Budget Lines - Leonardo'!$E$2:$E$1526=Tabella2[[#This Row],[Nome-Codice]])*('Budget Lines - Leonardo'!$G$2:$G$1526))</f>
        <v>5000</v>
      </c>
    </row>
    <row r="8" spans="1:12">
      <c r="C8" t="s">
        <v>515</v>
      </c>
      <c r="D8" t="s">
        <v>516</v>
      </c>
      <c r="E8" t="str">
        <f>_xlfn.CONCAT(D8," - ",C8)</f>
        <v>LUXO-BLUEIT-22-2-75 - Leonardo 2024</v>
      </c>
      <c r="F8" t="s">
        <v>11</v>
      </c>
      <c r="G8" t="s">
        <v>517</v>
      </c>
      <c r="H8" s="32" cm="1">
        <f t="array" ref="H8">SUMPRODUCT(('Budget Lines - Leonardo'!$E$2:$E$1526=Tabella2[[#This Row],[Nome-Codice]])*('Budget Lines - Leonardo'!$G$2:$G$1526))</f>
        <v>163240</v>
      </c>
    </row>
    <row r="9" spans="1:12">
      <c r="B9">
        <v>2025</v>
      </c>
      <c r="C9" t="s">
        <v>518</v>
      </c>
      <c r="D9" t="s">
        <v>449</v>
      </c>
      <c r="E9" t="str">
        <f t="shared" ref="E9:E27" si="2">_xlfn.CONCAT(D9," - ",C9)</f>
        <v>LUXO-BLUEIT-22-2-90 - Leonardo 2025</v>
      </c>
      <c r="F9" t="s">
        <v>11</v>
      </c>
      <c r="G9" t="s">
        <v>517</v>
      </c>
      <c r="H9" s="32" cm="1">
        <f t="array" ref="H9">SUMPRODUCT(('Budget Lines - Leonardo'!$E$2:$E$1526=Tabella2[[#This Row],[Nome-Codice]])*('Budget Lines - Leonardo'!$G$2:$G$1526))</f>
        <v>175817</v>
      </c>
    </row>
    <row r="10" spans="1:12">
      <c r="C10" t="s">
        <v>519</v>
      </c>
      <c r="D10" t="s">
        <v>520</v>
      </c>
      <c r="E10" t="str">
        <f t="shared" si="2"/>
        <v>LUXO-BLUEIT-22-2-78 - AM Leonardo 2024</v>
      </c>
      <c r="F10" t="s">
        <v>11</v>
      </c>
      <c r="G10" t="s">
        <v>517</v>
      </c>
      <c r="H10" s="32" cm="1">
        <f t="array" ref="H10">SUMPRODUCT(('Budget Lines - Leonardo'!$E$2:$E$1526=Tabella2[[#This Row],[Nome-Codice]])*('Budget Lines - Leonardo'!$G$2:$G$1526))</f>
        <v>2000</v>
      </c>
    </row>
    <row r="11" spans="1:12">
      <c r="B11">
        <v>2025</v>
      </c>
      <c r="C11" t="s">
        <v>521</v>
      </c>
      <c r="E11" t="str">
        <f t="shared" si="2"/>
        <v xml:space="preserve"> - AM Leonardo 2025</v>
      </c>
      <c r="F11" t="s">
        <v>11</v>
      </c>
      <c r="G11" t="s">
        <v>517</v>
      </c>
      <c r="H11" s="32" cm="1">
        <f t="array" ref="H11">SUMPRODUCT(('Budget Lines - Leonardo'!$E$2:$E$1526=Tabella2[[#This Row],[Nome-Codice]])*('Budget Lines - Leonardo'!$G$2:$G$1526))</f>
        <v>0</v>
      </c>
    </row>
    <row r="12" spans="1:12">
      <c r="B12">
        <v>2025</v>
      </c>
      <c r="C12" t="s">
        <v>522</v>
      </c>
      <c r="E12" t="str">
        <f t="shared" si="2"/>
        <v xml:space="preserve"> - Leonardo 2025 - Formazione</v>
      </c>
      <c r="F12" t="s">
        <v>11</v>
      </c>
      <c r="G12" t="s">
        <v>517</v>
      </c>
      <c r="H12" s="32" cm="1">
        <f t="array" ref="H12">SUMPRODUCT(('Budget Lines - Leonardo'!$E$2:$E$1526=Tabella2[[#This Row],[Nome-Codice]])*('Budget Lines - Leonardo'!$G$2:$G$1526))</f>
        <v>0</v>
      </c>
    </row>
    <row r="13" spans="1:12">
      <c r="C13" t="s">
        <v>523</v>
      </c>
      <c r="D13" t="s">
        <v>524</v>
      </c>
      <c r="E13" t="str">
        <f t="shared" si="2"/>
        <v>LUXO-BLUEIT-22-2-81 - Leonardo 2024 - Formazione</v>
      </c>
      <c r="F13" t="s">
        <v>11</v>
      </c>
      <c r="G13" t="s">
        <v>517</v>
      </c>
      <c r="H13" s="32" cm="1">
        <f t="array" ref="H13">SUMPRODUCT(('Budget Lines - Leonardo'!$E$2:$E$1526=Tabella2[[#This Row],[Nome-Codice]])*('Budget Lines - Leonardo'!$G$2:$G$1526))</f>
        <v>2200</v>
      </c>
    </row>
    <row r="14" spans="1:12">
      <c r="C14" t="s">
        <v>525</v>
      </c>
      <c r="D14" t="s">
        <v>526</v>
      </c>
      <c r="E14" t="str">
        <f t="shared" si="2"/>
        <v>LUXO-BLUEIT-22-2-89 - Leonardo - Fe Support 2025</v>
      </c>
      <c r="F14" t="s">
        <v>11</v>
      </c>
      <c r="G14" t="s">
        <v>505</v>
      </c>
      <c r="H14" s="32" cm="1">
        <f t="array" ref="H14">SUMPRODUCT(('Budget Lines - Leonardo'!$E$2:$E$1526=Tabella2[[#This Row],[Nome-Codice]])*('Budget Lines - Leonardo'!$G$2:$G$1526))</f>
        <v>113890</v>
      </c>
    </row>
    <row r="15" spans="1:12">
      <c r="B15">
        <v>2025</v>
      </c>
      <c r="C15" t="s">
        <v>527</v>
      </c>
      <c r="D15" t="s">
        <v>528</v>
      </c>
      <c r="E15" t="str">
        <f t="shared" si="2"/>
        <v>LUXO-BLUEIT-22-2-103 - Leonardo formazione 2025</v>
      </c>
      <c r="F15" t="s">
        <v>11</v>
      </c>
      <c r="G15" t="s">
        <v>517</v>
      </c>
      <c r="H15" s="32" cm="1">
        <f t="array" ref="H15">SUMPRODUCT(('Budget Lines - Leonardo'!$E$2:$E$1526=Tabella2[[#This Row],[Nome-Codice]])*('Budget Lines - Leonardo'!$G$2:$G$1526))</f>
        <v>35775</v>
      </c>
    </row>
    <row r="16" spans="1:12">
      <c r="C16" t="s">
        <v>529</v>
      </c>
      <c r="D16" t="s">
        <v>530</v>
      </c>
      <c r="E16" t="str">
        <f t="shared" si="2"/>
        <v>LUXO-BLUEIT-22-2-69 - Leonardo - Fe Support 2024</v>
      </c>
      <c r="F16" t="s">
        <v>11</v>
      </c>
      <c r="G16" t="s">
        <v>505</v>
      </c>
      <c r="H16" s="32" cm="1">
        <f t="array" ref="H16">SUMPRODUCT(('Budget Lines - Leonardo'!$E$2:$E$1526=Tabella2[[#This Row],[Nome-Codice]])*('Budget Lines - Leonardo'!$G$2:$G$1526))</f>
        <v>36627</v>
      </c>
    </row>
    <row r="17" spans="2:8">
      <c r="B17">
        <v>2025</v>
      </c>
      <c r="C17" t="s">
        <v>531</v>
      </c>
      <c r="D17" t="s">
        <v>532</v>
      </c>
      <c r="E17" t="str">
        <f t="shared" si="2"/>
        <v>LUXO-BLUEIT-22-2-106 - Leonardo formazione 2025 H2</v>
      </c>
      <c r="F17" t="s">
        <v>11</v>
      </c>
      <c r="G17" t="s">
        <v>517</v>
      </c>
      <c r="H17" s="32" cm="1">
        <f t="array" ref="H17">SUMPRODUCT(('Budget Lines - Leonardo'!$E$2:$E$1526=Tabella2[[#This Row],[Nome-Codice]])*('Budget Lines - Leonardo'!$G$2:$G$1526))</f>
        <v>29086</v>
      </c>
    </row>
    <row r="18" spans="2:8">
      <c r="B18">
        <v>2025</v>
      </c>
      <c r="C18" t="s">
        <v>533</v>
      </c>
      <c r="D18" t="s">
        <v>534</v>
      </c>
      <c r="E18" t="str">
        <f t="shared" si="2"/>
        <v>LUXO-BLUEIT-22-2-91 - Leonardo - Quality 2025</v>
      </c>
      <c r="F18" t="s">
        <v>11</v>
      </c>
      <c r="G18" t="s">
        <v>505</v>
      </c>
      <c r="H18" s="32" cm="1">
        <f t="array" ref="H18">SUMPRODUCT(('Budget Lines - Leonardo'!$E$2:$E$1526=Tabella2[[#This Row],[Nome-Codice]])*('Budget Lines - Leonardo'!$G$2:$G$1526))</f>
        <v>123195</v>
      </c>
    </row>
    <row r="19" spans="2:8">
      <c r="B19">
        <v>2025</v>
      </c>
      <c r="C19" t="s">
        <v>535</v>
      </c>
      <c r="D19" t="s">
        <v>536</v>
      </c>
      <c r="E19" t="str">
        <f t="shared" si="2"/>
        <v>LUXO-BLUEIT-22-2-94 - Leonardo Quality 2025</v>
      </c>
      <c r="F19" t="s">
        <v>11</v>
      </c>
      <c r="G19" t="s">
        <v>517</v>
      </c>
      <c r="H19" s="32" cm="1">
        <f t="array" ref="H19">SUMPRODUCT(('Budget Lines - Leonardo'!$E$2:$E$1526=Tabella2[[#This Row],[Nome-Codice]])*('Budget Lines - Leonardo'!$G$2:$G$1526))</f>
        <v>274340</v>
      </c>
    </row>
    <row r="20" spans="2:8">
      <c r="B20">
        <v>2025</v>
      </c>
      <c r="C20" t="s">
        <v>537</v>
      </c>
      <c r="D20" t="s">
        <v>538</v>
      </c>
      <c r="E20" t="str">
        <f t="shared" si="2"/>
        <v>LUXO-BLUEIT-22-2-100 - Leonardo Quality 2025 - Residuo</v>
      </c>
      <c r="F20" t="s">
        <v>11</v>
      </c>
      <c r="G20" t="s">
        <v>517</v>
      </c>
      <c r="H20" s="32" cm="1">
        <f t="array" ref="H20">SUMPRODUCT(('Budget Lines - Leonardo'!$E$2:$E$1526=Tabella2[[#This Row],[Nome-Codice]])*('Budget Lines - Leonardo'!$G$2:$G$1526))</f>
        <v>19780</v>
      </c>
    </row>
    <row r="21" spans="2:8">
      <c r="B21">
        <v>2026</v>
      </c>
      <c r="C21" t="s">
        <v>539</v>
      </c>
      <c r="D21" t="s">
        <v>452</v>
      </c>
      <c r="E21" t="str">
        <f t="shared" si="2"/>
        <v>LUXO-BLUEIT-22-2-107 - Leonardo 2026</v>
      </c>
      <c r="F21" t="s">
        <v>11</v>
      </c>
      <c r="G21" t="s">
        <v>517</v>
      </c>
      <c r="H21" s="32" cm="1">
        <f t="array" ref="H21">SUMPRODUCT(('Budget Lines - Leonardo'!$E$2:$E$1526=Tabella2[[#This Row],[Nome-Codice]])*('Budget Lines - Leonardo'!$G$2:$G$1526))</f>
        <v>406949</v>
      </c>
    </row>
    <row r="22" spans="2:8">
      <c r="B22">
        <v>2025</v>
      </c>
      <c r="C22" t="s">
        <v>540</v>
      </c>
      <c r="D22" t="s">
        <v>541</v>
      </c>
      <c r="E22" t="str">
        <f t="shared" si="2"/>
        <v>LUXO-BLUEIT-25-75-3 - Recall APP 2025</v>
      </c>
      <c r="F22" t="s">
        <v>102</v>
      </c>
      <c r="G22" t="s">
        <v>517</v>
      </c>
      <c r="H22" s="32" cm="1">
        <f t="array" ref="H22">SUMPRODUCT(('Budget Lines - Leonardo'!$E$2:$E$1526=Tabella2[[#This Row],[Nome-Codice]])*('Budget Lines - Leonardo'!$G$2:$G$1526))</f>
        <v>0</v>
      </c>
    </row>
    <row r="23" spans="2:8">
      <c r="B23">
        <v>2025</v>
      </c>
      <c r="C23" t="s">
        <v>540</v>
      </c>
      <c r="D23" t="s">
        <v>448</v>
      </c>
      <c r="E23" t="str">
        <f t="shared" si="2"/>
        <v>LUXO-BLUEIT-25-75-4 - Recall APP 2025</v>
      </c>
      <c r="F23" t="s">
        <v>102</v>
      </c>
      <c r="G23" t="s">
        <v>505</v>
      </c>
      <c r="H23" s="32" cm="1">
        <f t="array" ref="H23">SUMPRODUCT(('Budget Lines - Leonardo'!$E$2:$E$1526=Tabella2[[#This Row],[Nome-Codice]])*('Budget Lines - Leonardo'!$G$2:$G$1526))</f>
        <v>0</v>
      </c>
    </row>
    <row r="24" spans="2:8">
      <c r="B24">
        <v>2025</v>
      </c>
      <c r="C24" t="s">
        <v>542</v>
      </c>
      <c r="D24" t="s">
        <v>543</v>
      </c>
      <c r="E24" t="str">
        <f>_xlfn.CONCAT(D24," - ",C24)</f>
        <v>LUXO-BLUEIT-25-75-5 - Recall APP - Formazione 2025</v>
      </c>
      <c r="F24" t="s">
        <v>102</v>
      </c>
      <c r="G24" t="s">
        <v>517</v>
      </c>
      <c r="H24" s="32" cm="1">
        <f t="array" ref="H24">SUMPRODUCT(('Budget Lines - Leonardo'!$E$2:$E$1526=Tabella2[[#This Row],[Nome-Codice]])*('Budget Lines - Leonardo'!$G$2:$G$1526))</f>
        <v>0</v>
      </c>
    </row>
    <row r="25" spans="2:8">
      <c r="B25">
        <v>2026</v>
      </c>
      <c r="C25" t="s">
        <v>544</v>
      </c>
      <c r="D25" t="s">
        <v>545</v>
      </c>
      <c r="E25" t="str">
        <f t="shared" si="2"/>
        <v>LUXO-BLUEIT-22-11-52 - Intranet 2026</v>
      </c>
      <c r="F25" t="s">
        <v>64</v>
      </c>
      <c r="H25" s="32" cm="1">
        <f t="array" ref="H25">SUMPRODUCT(('Budget Lines - Leonardo'!$E$2:$E$1526=Tabella2[[#This Row],[Nome-Codice]])*('Budget Lines - Leonardo'!$G$2:$G$1526))</f>
        <v>0</v>
      </c>
    </row>
    <row r="26" spans="2:8">
      <c r="B26">
        <v>2026</v>
      </c>
      <c r="C26" t="s">
        <v>546</v>
      </c>
      <c r="D26" t="s">
        <v>547</v>
      </c>
      <c r="E26" t="str">
        <f t="shared" si="2"/>
        <v>LUXO-BLUEIT-22-11-61 - TT - Intranet 2026</v>
      </c>
      <c r="F26" t="s">
        <v>64</v>
      </c>
      <c r="H26" s="32" cm="1">
        <f t="array" ref="H26">SUMPRODUCT(('Budget Lines - Leonardo'!$E$2:$E$1526=Tabella2[[#This Row],[Nome-Codice]])*('Budget Lines - Leonardo'!$G$2:$G$1526))</f>
        <v>0</v>
      </c>
    </row>
    <row r="27" spans="2:8">
      <c r="B27">
        <v>2026</v>
      </c>
      <c r="C27" t="s">
        <v>548</v>
      </c>
      <c r="D27" t="s">
        <v>450</v>
      </c>
      <c r="E27" t="str">
        <f t="shared" si="2"/>
        <v>LUXO-BLUEIT-22-2-109 - Leonardo - Fe Support 2026</v>
      </c>
      <c r="F27" t="s">
        <v>11</v>
      </c>
      <c r="G27" t="s">
        <v>505</v>
      </c>
      <c r="H27" s="32" cm="1">
        <f t="array" ref="H27">SUMPRODUCT(('Budget Lines - Leonardo'!$E$2:$E$1526=Tabella2[[#This Row],[Nome-Codice]])*('Budget Lines - Leonardo'!$G$2:$G$1526))</f>
        <v>127065</v>
      </c>
    </row>
    <row r="28" spans="2:8">
      <c r="B28">
        <v>2026</v>
      </c>
      <c r="C28" t="s">
        <v>549</v>
      </c>
      <c r="D28" t="s">
        <v>550</v>
      </c>
      <c r="E28" t="str">
        <f>_xlfn.CONCAT(D28," - ",C28)</f>
        <v>LUXO-BLUEIT-25-75-6 - Recall APP 2026</v>
      </c>
      <c r="F28" t="s">
        <v>102</v>
      </c>
      <c r="G28" t="s">
        <v>517</v>
      </c>
      <c r="H28" s="32" cm="1">
        <f t="array" ref="H28">SUMPRODUCT(('Budget Lines - Leonardo'!$E$2:$E$1526=Tabella2[[#This Row],[Nome-Codice]])*('Budget Lines - Leonardo'!$G$2:$G$1526))</f>
        <v>0</v>
      </c>
    </row>
    <row r="29" spans="2:8">
      <c r="B29">
        <v>2026</v>
      </c>
      <c r="C29" t="s">
        <v>549</v>
      </c>
      <c r="D29" t="s">
        <v>551</v>
      </c>
      <c r="E29" t="str">
        <f>_xlfn.CONCAT(D29," - ",C29)</f>
        <v>LUXO-BLUEIT-25-75-8 - Recall APP 2026</v>
      </c>
      <c r="F29" t="s">
        <v>102</v>
      </c>
      <c r="G29" t="s">
        <v>505</v>
      </c>
      <c r="H29" s="32" cm="1">
        <f t="array" ref="H29">SUMPRODUCT(('Budget Lines - Leonardo'!$E$2:$E$1526=Tabella2[[#This Row],[Nome-Codice]])*('Budget Lines - Leonardo'!$G$2:$G$1526))</f>
        <v>0</v>
      </c>
    </row>
    <row r="30" spans="2:8">
      <c r="B30">
        <v>2026</v>
      </c>
      <c r="C30" t="s">
        <v>552</v>
      </c>
      <c r="D30" t="s">
        <v>553</v>
      </c>
      <c r="E30" t="str">
        <f>_xlfn.CONCAT(D30," - ",C30)</f>
        <v>LUXO-BLUEIT-25-75-12 - Recall App - Sessioni 2026</v>
      </c>
      <c r="F30" t="s">
        <v>102</v>
      </c>
      <c r="G30" t="s">
        <v>505</v>
      </c>
      <c r="H30" s="32" cm="1">
        <f t="array" ref="H30">SUMPRODUCT(('Budget Lines - Leonardo'!$E$2:$E$1526=Tabella2[[#This Row],[Nome-Codice]])*('Budget Lines - Leonardo'!$G$2:$G$1526))</f>
        <v>0</v>
      </c>
    </row>
    <row r="31" spans="2:8">
      <c r="B31">
        <v>2026</v>
      </c>
      <c r="C31" t="s">
        <v>552</v>
      </c>
      <c r="D31" t="s">
        <v>554</v>
      </c>
      <c r="E31" t="str">
        <f>_xlfn.CONCAT(D31," - ",C31)</f>
        <v>LUXO-BLUEIT-25-75-10 - Recall App - Sessioni 2026</v>
      </c>
      <c r="F31" t="s">
        <v>102</v>
      </c>
      <c r="G31" t="s">
        <v>517</v>
      </c>
      <c r="H31" s="32" cm="1">
        <f t="array" ref="H31">SUMPRODUCT(('Budget Lines - Leonardo'!$E$2:$E$1526=Tabella2[[#This Row],[Nome-Codice]])*('Budget Lines - Leonardo'!$G$2:$G$1526))</f>
        <v>0</v>
      </c>
    </row>
    <row r="32" spans="2:8">
      <c r="B32">
        <v>2026</v>
      </c>
      <c r="C32" t="s">
        <v>555</v>
      </c>
      <c r="D32" t="s">
        <v>556</v>
      </c>
      <c r="E32" t="str">
        <f>_xlfn.CONCAT(D32," - ",C32)</f>
        <v>LUXO-BLUEIT-22-2-116 - Leonardo DevOps 2026</v>
      </c>
      <c r="F32" t="s">
        <v>557</v>
      </c>
      <c r="G32" t="s">
        <v>517</v>
      </c>
      <c r="H32" s="32" cm="1">
        <f t="array" ref="H32">SUMPRODUCT(('Budget Lines - Leonardo'!$E$2:$E$1526=Tabella2[[#This Row],[Nome-Codice]])*('Budget Lines - Leonardo'!$G$2:$G$1526))</f>
        <v>34615</v>
      </c>
    </row>
    <row r="33" spans="2:8">
      <c r="B33">
        <v>2026</v>
      </c>
      <c r="C33" t="s">
        <v>558</v>
      </c>
      <c r="D33" t="s">
        <v>559</v>
      </c>
      <c r="E33" t="str">
        <f>_xlfn.CONCAT(D33," - ",C33)</f>
        <v>LUXO-BLUEIT-22-2-118 - Leonardo DevOps AM 2026</v>
      </c>
      <c r="F33" t="s">
        <v>557</v>
      </c>
      <c r="G33" t="s">
        <v>517</v>
      </c>
      <c r="H33" s="32" cm="1">
        <f t="array" ref="H33">SUMPRODUCT(('Budget Lines - Leonardo'!$E$2:$E$1526=Tabella2[[#This Row],[Nome-Codice]])*('Budget Lines - Leonardo'!$G$2:$G$1526))</f>
        <v>0</v>
      </c>
    </row>
    <row r="34" spans="2:8">
      <c r="B34">
        <v>2026</v>
      </c>
      <c r="C34" t="s">
        <v>560</v>
      </c>
      <c r="D34" t="s">
        <v>561</v>
      </c>
      <c r="E34" t="str">
        <f>_xlfn.CONCAT(D34," - ",C34)</f>
        <v>LUXO-BLUEIT-22-11-57 - EL - Intranet CMS - 2026</v>
      </c>
      <c r="F34" t="s">
        <v>64</v>
      </c>
      <c r="G34" t="s">
        <v>562</v>
      </c>
      <c r="H34" s="32" cm="1">
        <f t="array" ref="H34">SUMPRODUCT(('Budget Lines - Leonardo'!$E$2:$E$1526=Tabella2[[#This Row],[Nome-Codice]])*('Budget Lines - Leonardo'!$G$2:$G$1526))</f>
        <v>0</v>
      </c>
    </row>
    <row r="35" spans="2:8">
      <c r="B35">
        <v>2026</v>
      </c>
      <c r="C35" t="s">
        <v>563</v>
      </c>
      <c r="D35" t="s">
        <v>564</v>
      </c>
      <c r="E35" t="str">
        <f>_xlfn.CONCAT(D35," - ",C35)</f>
        <v>LUXO-BLUEIT-25-75-9 - Recall APP - Anticipo 2026</v>
      </c>
      <c r="F35" t="s">
        <v>102</v>
      </c>
      <c r="G35" t="s">
        <v>517</v>
      </c>
      <c r="H35" s="32" cm="1">
        <f t="array" ref="H35">SUMPRODUCT(('Budget Lines - Leonardo'!$E$2:$E$1526=Tabella2[[#This Row],[Nome-Codice]])*('Budget Lines - Leonardo'!$G$2:$G$1526))</f>
        <v>0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BE9EC-07A5-4322-979E-3975442A16ED}">
  <dimension ref="A1:D6"/>
  <sheetViews>
    <sheetView workbookViewId="0">
      <selection activeCell="B7" sqref="B7"/>
    </sheetView>
  </sheetViews>
  <sheetFormatPr defaultRowHeight="15"/>
  <cols>
    <col min="1" max="1" width="11.140625" customWidth="1"/>
    <col min="2" max="2" width="13.5703125" customWidth="1"/>
    <col min="3" max="3" width="19.28515625" bestFit="1" customWidth="1"/>
    <col min="4" max="4" width="16" bestFit="1" customWidth="1"/>
  </cols>
  <sheetData>
    <row r="1" spans="1:4">
      <c r="A1" s="34" t="s">
        <v>565</v>
      </c>
      <c r="B1" s="34" t="s">
        <v>566</v>
      </c>
      <c r="C1" s="34" t="s">
        <v>567</v>
      </c>
      <c r="D1" s="34" t="s">
        <v>568</v>
      </c>
    </row>
    <row r="2" spans="1:4">
      <c r="A2" t="s">
        <v>420</v>
      </c>
      <c r="B2" t="s">
        <v>569</v>
      </c>
      <c r="C2" t="s">
        <v>570</v>
      </c>
      <c r="D2" t="s">
        <v>571</v>
      </c>
    </row>
    <row r="3" spans="1:4">
      <c r="A3" t="s">
        <v>352</v>
      </c>
      <c r="B3" t="s">
        <v>147</v>
      </c>
      <c r="C3" t="s">
        <v>572</v>
      </c>
      <c r="D3" t="s">
        <v>573</v>
      </c>
    </row>
    <row r="4" spans="1:4">
      <c r="B4" t="s">
        <v>74</v>
      </c>
      <c r="C4" t="s">
        <v>574</v>
      </c>
      <c r="D4" t="s">
        <v>575</v>
      </c>
    </row>
    <row r="5" spans="1:4">
      <c r="B5" t="s">
        <v>576</v>
      </c>
      <c r="C5" t="s">
        <v>577</v>
      </c>
    </row>
    <row r="6" spans="1:4">
      <c r="B6" t="s">
        <v>12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E5629-BEED-4FDF-9CD7-49E7474F6CEF}">
  <dimension ref="A1:F4"/>
  <sheetViews>
    <sheetView workbookViewId="0">
      <selection activeCell="A2" sqref="A2"/>
    </sheetView>
  </sheetViews>
  <sheetFormatPr defaultRowHeight="15"/>
  <cols>
    <col min="1" max="1" width="15" customWidth="1"/>
    <col min="2" max="2" width="12" bestFit="1" customWidth="1"/>
    <col min="3" max="3" width="32.85546875" bestFit="1" customWidth="1"/>
    <col min="4" max="4" width="32.85546875" customWidth="1"/>
    <col min="5" max="5" width="12" bestFit="1" customWidth="1"/>
    <col min="6" max="6" width="35.140625" bestFit="1" customWidth="1"/>
  </cols>
  <sheetData>
    <row r="1" spans="1:6">
      <c r="A1" s="40" t="s">
        <v>578</v>
      </c>
      <c r="B1" s="41" t="s">
        <v>579</v>
      </c>
      <c r="C1" s="41" t="s">
        <v>580</v>
      </c>
      <c r="D1" s="41" t="s">
        <v>581</v>
      </c>
      <c r="E1" s="41" t="s">
        <v>582</v>
      </c>
      <c r="F1" s="42" t="s">
        <v>583</v>
      </c>
    </row>
    <row r="2" spans="1:6">
      <c r="A2" t="s">
        <v>584</v>
      </c>
      <c r="B2" t="s">
        <v>585</v>
      </c>
    </row>
    <row r="3" spans="1:6">
      <c r="A3" t="s">
        <v>586</v>
      </c>
      <c r="B3" t="s">
        <v>587</v>
      </c>
    </row>
    <row r="4" spans="1:6">
      <c r="A4" t="s">
        <v>588</v>
      </c>
      <c r="B4" t="s">
        <v>589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8DD2B9AA56CBC4F8A351B795937BC6D" ma:contentTypeVersion="6" ma:contentTypeDescription="Create a new document." ma:contentTypeScope="" ma:versionID="d6aedab325c5a3b61472ef51fda5f6c7">
  <xsd:schema xmlns:xsd="http://www.w3.org/2001/XMLSchema" xmlns:xs="http://www.w3.org/2001/XMLSchema" xmlns:p="http://schemas.microsoft.com/office/2006/metadata/properties" xmlns:ns2="b9b76b80-cfed-4e12-a107-51804abf42f2" xmlns:ns3="8fefb29f-bf3b-4cc9-b381-2581606c2f10" targetNamespace="http://schemas.microsoft.com/office/2006/metadata/properties" ma:root="true" ma:fieldsID="ed1d4e3f53bdf7e249245c4d3db39d99" ns2:_="" ns3:_="">
    <xsd:import namespace="b9b76b80-cfed-4e12-a107-51804abf42f2"/>
    <xsd:import namespace="8fefb29f-bf3b-4cc9-b381-2581606c2f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b76b80-cfed-4e12-a107-51804abf42f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efb29f-bf3b-4cc9-b381-2581606c2f1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B856A0C-FB98-4082-BBBD-7FCBA64C9CC2}"/>
</file>

<file path=customXml/itemProps2.xml><?xml version="1.0" encoding="utf-8"?>
<ds:datastoreItem xmlns:ds="http://schemas.openxmlformats.org/officeDocument/2006/customXml" ds:itemID="{4888B2EE-C5B9-4083-9A58-803AE2DC98AC}"/>
</file>

<file path=customXml/itemProps3.xml><?xml version="1.0" encoding="utf-8"?>
<ds:datastoreItem xmlns:ds="http://schemas.openxmlformats.org/officeDocument/2006/customXml" ds:itemID="{8E780B9E-FF78-40E2-B1CE-A73BB9B8694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2025-09-17T08:54:22Z</dcterms:created>
  <dcterms:modified xsi:type="dcterms:W3CDTF">2026-07-29T23:55:31Z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0x01010048DD2B9AA56CBC4F8A351B795937BC6D</vt:lpwstr>
  </property>
</Properties>
</file>